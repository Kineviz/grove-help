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graph\tmp\observable\projects\64e0cc56e429395ff60ad73d\excel\files\"/>
    </mc:Choice>
  </mc:AlternateContent>
  <xr:revisionPtr revIDLastSave="0" documentId="13_ncr:1_{F0AF06F1-C035-4AD0-97C4-3FBFE5290C5F}" xr6:coauthVersionLast="47" xr6:coauthVersionMax="47" xr10:uidLastSave="{00000000-0000-0000-0000-000000000000}"/>
  <bookViews>
    <workbookView xWindow="28690" yWindow="-110" windowWidth="29020" windowHeight="15820" activeTab="4" xr2:uid="{00000000-000D-0000-FFFF-FFFF00000000}"/>
  </bookViews>
  <sheets>
    <sheet name="总课表" sheetId="8" r:id="rId1"/>
    <sheet name="单班课表" sheetId="11" r:id="rId2"/>
    <sheet name="教师个人课程表" sheetId="12" r:id="rId3"/>
    <sheet name="班会教室" sheetId="10" r:id="rId4"/>
    <sheet name="教师姓名" sheetId="13" r:id="rId5"/>
  </sheets>
  <definedNames>
    <definedName name="_xlnm._FilterDatabase" localSheetId="0" hidden="1">总课表!$A$1:$AC$27</definedName>
    <definedName name="demo" localSheetId="1">#REF!</definedName>
    <definedName name="demo" localSheetId="2">#REF!</definedName>
    <definedName name="demo" localSheetId="4">#REF!</definedName>
    <definedName name="demo">#REF!</definedName>
    <definedName name="wenjian" localSheetId="1">#REF!</definedName>
    <definedName name="wenjian" localSheetId="2">#REF!</definedName>
    <definedName name="wenjian" localSheetId="4">#REF!</definedName>
    <definedName name="wenjian">#REF!</definedName>
    <definedName name="教师总课程表" localSheetId="1">#REF!</definedName>
    <definedName name="教师总课程表" localSheetId="2">#REF!</definedName>
    <definedName name="教师总课程表" localSheetId="4">#REF!</definedName>
    <definedName name="教师总课程表">#REF!</definedName>
    <definedName name="未设置课程表" localSheetId="1">#REF!</definedName>
    <definedName name="未设置课程表" localSheetId="2">#REF!</definedName>
    <definedName name="未设置课程表" localSheetId="4">#REF!</definedName>
    <definedName name="未设置课程表">#REF!</definedName>
    <definedName name="总课程表" localSheetId="1">#REF!</definedName>
    <definedName name="总课程表" localSheetId="2">#REF!</definedName>
    <definedName name="总课程表" localSheetId="4">#REF!</definedName>
    <definedName name="总课程表">#REF!</definedName>
  </definedNames>
  <calcPr calcId="181029"/>
</workbook>
</file>

<file path=xl/calcChain.xml><?xml version="1.0" encoding="utf-8"?>
<calcChain xmlns="http://schemas.openxmlformats.org/spreadsheetml/2006/main">
  <c r="B10" i="13" l="1"/>
  <c r="C10" i="13"/>
  <c r="I10" i="13"/>
  <c r="H10" i="13"/>
  <c r="G10" i="13"/>
  <c r="F10" i="13"/>
  <c r="E10" i="13"/>
  <c r="D10" i="13"/>
  <c r="G9" i="13" l="1"/>
  <c r="F9" i="13"/>
  <c r="E9" i="13"/>
  <c r="C9" i="13" s="1"/>
  <c r="B9" i="13" s="1"/>
  <c r="D9" i="13"/>
  <c r="F1" i="13"/>
  <c r="G1" i="13"/>
  <c r="E1" i="13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8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2" i="11"/>
  <c r="C8" i="13" l="1"/>
  <c r="B8" i="13" s="1"/>
  <c r="C2" i="13"/>
  <c r="B2" i="13" s="1"/>
  <c r="C3" i="13"/>
  <c r="B3" i="13" s="1"/>
  <c r="C4" i="13"/>
  <c r="B4" i="13" s="1"/>
  <c r="C1" i="13"/>
  <c r="B1" i="13" s="1"/>
  <c r="C5" i="13"/>
  <c r="B5" i="13" s="1"/>
  <c r="C6" i="13"/>
  <c r="B6" i="13" s="1"/>
  <c r="C7" i="13"/>
  <c r="B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Xing</author>
  </authors>
  <commentList>
    <comment ref="E1" authorId="0" shapeId="0" xr:uid="{636F8A73-8118-452B-9583-5013BB5F82EE}">
      <text>
        <r>
          <rPr>
            <b/>
            <sz val="9"/>
            <color indexed="81"/>
            <rFont val="宋体"/>
            <family val="3"/>
            <charset val="134"/>
          </rPr>
          <t xml:space="preserve">总人数
</t>
        </r>
      </text>
    </comment>
    <comment ref="G1" authorId="0" shapeId="0" xr:uid="{A1C86C04-F0BD-49E1-9812-ADC52621A696}">
      <text>
        <r>
          <rPr>
            <b/>
            <sz val="9"/>
            <color indexed="81"/>
            <rFont val="宋体"/>
            <family val="3"/>
            <charset val="134"/>
          </rPr>
          <t>3次报告厅人数</t>
        </r>
      </text>
    </comment>
    <comment ref="H1" authorId="0" shapeId="0" xr:uid="{4B5FDC1B-76A0-427C-B627-76070C120497}">
      <text>
        <r>
          <rPr>
            <b/>
            <sz val="9"/>
            <color indexed="81"/>
            <rFont val="宋体"/>
            <family val="3"/>
            <charset val="134"/>
          </rPr>
          <t>10次合班课</t>
        </r>
      </text>
    </comment>
    <comment ref="I1" authorId="0" shapeId="0" xr:uid="{4DE3A72B-04FB-4CEB-AA93-8BC556B0B992}">
      <text>
        <r>
          <rPr>
            <b/>
            <sz val="9"/>
            <color indexed="81"/>
            <rFont val="宋体"/>
            <family val="3"/>
            <charset val="134"/>
          </rPr>
          <t>3次合班课</t>
        </r>
      </text>
    </comment>
    <comment ref="J1" authorId="0" shapeId="0" xr:uid="{451106EB-B5B4-4B36-A35B-9FEA8408759B}">
      <text>
        <r>
          <rPr>
            <b/>
            <sz val="9"/>
            <color indexed="81"/>
            <rFont val="宋体"/>
            <family val="3"/>
            <charset val="134"/>
          </rPr>
          <t xml:space="preserve">3次报告厅
</t>
        </r>
      </text>
    </comment>
  </commentList>
</comments>
</file>

<file path=xl/sharedStrings.xml><?xml version="1.0" encoding="utf-8"?>
<sst xmlns="http://schemas.openxmlformats.org/spreadsheetml/2006/main" count="674" uniqueCount="210">
  <si>
    <r>
      <rPr>
        <b/>
        <sz val="14"/>
        <rFont val="Times New Roman"/>
        <family val="1"/>
      </rPr>
      <t>2022-2023</t>
    </r>
    <r>
      <rPr>
        <b/>
        <sz val="14"/>
        <rFont val="宋体"/>
        <family val="3"/>
        <charset val="134"/>
      </rPr>
      <t>学年22级第一学期入学教育（下埠教学点</t>
    </r>
    <r>
      <rPr>
        <b/>
        <sz val="14"/>
        <rFont val="Times New Roman"/>
        <family val="1"/>
      </rPr>
      <t xml:space="preserve"> 10</t>
    </r>
    <r>
      <rPr>
        <b/>
        <sz val="14"/>
        <rFont val="宋体"/>
        <family val="3"/>
        <charset val="134"/>
      </rPr>
      <t>月7日起执行）</t>
    </r>
    <r>
      <rPr>
        <b/>
        <sz val="14"/>
        <rFont val="Times New Roman"/>
        <family val="1"/>
      </rPr>
      <t xml:space="preserve"> 
</t>
    </r>
    <r>
      <rPr>
        <b/>
        <sz val="14"/>
        <rFont val="宋体"/>
        <family val="3"/>
        <charset val="134"/>
      </rPr>
      <t>（第</t>
    </r>
    <r>
      <rPr>
        <b/>
        <sz val="14"/>
        <rFont val="Times New Roman"/>
        <family val="1"/>
      </rPr>
      <t>1</t>
    </r>
    <r>
      <rPr>
        <b/>
        <sz val="14"/>
        <rFont val="宋体"/>
        <family val="3"/>
        <charset val="134"/>
      </rPr>
      <t>节</t>
    </r>
    <r>
      <rPr>
        <b/>
        <sz val="14"/>
        <rFont val="Times New Roman"/>
        <family val="1"/>
      </rPr>
      <t xml:space="preserve"> 8:10-8:55  </t>
    </r>
    <r>
      <rPr>
        <b/>
        <sz val="14"/>
        <rFont val="宋体"/>
        <family val="3"/>
        <charset val="134"/>
      </rPr>
      <t>第</t>
    </r>
    <r>
      <rPr>
        <b/>
        <sz val="14"/>
        <rFont val="Times New Roman"/>
        <family val="1"/>
      </rPr>
      <t>2</t>
    </r>
    <r>
      <rPr>
        <b/>
        <sz val="14"/>
        <rFont val="宋体"/>
        <family val="3"/>
        <charset val="134"/>
      </rPr>
      <t>节</t>
    </r>
    <r>
      <rPr>
        <b/>
        <sz val="14"/>
        <rFont val="Times New Roman"/>
        <family val="1"/>
      </rPr>
      <t xml:space="preserve"> 9:05-9:50 </t>
    </r>
    <r>
      <rPr>
        <b/>
        <sz val="14"/>
        <rFont val="宋体"/>
        <family val="3"/>
        <charset val="134"/>
      </rPr>
      <t>第</t>
    </r>
    <r>
      <rPr>
        <b/>
        <sz val="14"/>
        <rFont val="Times New Roman"/>
        <family val="1"/>
      </rPr>
      <t>3</t>
    </r>
    <r>
      <rPr>
        <b/>
        <sz val="14"/>
        <rFont val="宋体"/>
        <family val="3"/>
        <charset val="134"/>
      </rPr>
      <t>节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映荷楼（</t>
    </r>
    <r>
      <rPr>
        <b/>
        <sz val="14"/>
        <rFont val="Times New Roman"/>
        <family val="1"/>
      </rPr>
      <t>10:05-10:50</t>
    </r>
    <r>
      <rPr>
        <b/>
        <sz val="14"/>
        <rFont val="宋体"/>
        <family val="3"/>
        <charset val="134"/>
      </rPr>
      <t>）</t>
    </r>
    <r>
      <rPr>
        <b/>
        <sz val="14"/>
        <rFont val="Times New Roman"/>
        <family val="1"/>
      </rPr>
      <t xml:space="preserve"> </t>
    </r>
    <r>
      <rPr>
        <b/>
        <sz val="14"/>
        <rFont val="宋体"/>
        <family val="3"/>
        <charset val="134"/>
      </rPr>
      <t>践行楼（</t>
    </r>
    <r>
      <rPr>
        <b/>
        <sz val="14"/>
        <rFont val="Times New Roman"/>
        <family val="1"/>
      </rPr>
      <t>10:20-11:05</t>
    </r>
    <r>
      <rPr>
        <b/>
        <sz val="14"/>
        <rFont val="宋体"/>
        <family val="3"/>
        <charset val="134"/>
      </rPr>
      <t>）</t>
    </r>
    <r>
      <rPr>
        <b/>
        <sz val="14"/>
        <rFont val="Times New Roman"/>
        <family val="1"/>
      </rPr>
      <t xml:space="preserve"> </t>
    </r>
    <r>
      <rPr>
        <b/>
        <sz val="14"/>
        <rFont val="宋体"/>
        <family val="3"/>
        <charset val="134"/>
      </rPr>
      <t>第</t>
    </r>
    <r>
      <rPr>
        <b/>
        <sz val="14"/>
        <rFont val="Times New Roman"/>
        <family val="1"/>
      </rPr>
      <t>4</t>
    </r>
    <r>
      <rPr>
        <b/>
        <sz val="14"/>
        <rFont val="宋体"/>
        <family val="3"/>
        <charset val="134"/>
      </rPr>
      <t>节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映荷楼（</t>
    </r>
    <r>
      <rPr>
        <b/>
        <sz val="14"/>
        <rFont val="Times New Roman"/>
        <family val="1"/>
      </rPr>
      <t>11:00-11:45</t>
    </r>
    <r>
      <rPr>
        <b/>
        <sz val="14"/>
        <rFont val="宋体"/>
        <family val="3"/>
        <charset val="134"/>
      </rPr>
      <t>）</t>
    </r>
    <r>
      <rPr>
        <b/>
        <sz val="14"/>
        <rFont val="Times New Roman"/>
        <family val="1"/>
      </rPr>
      <t xml:space="preserve"> </t>
    </r>
    <r>
      <rPr>
        <b/>
        <sz val="14"/>
        <rFont val="宋体"/>
        <family val="3"/>
        <charset val="134"/>
      </rPr>
      <t>践行楼（</t>
    </r>
    <r>
      <rPr>
        <b/>
        <sz val="14"/>
        <rFont val="Times New Roman"/>
        <family val="1"/>
      </rPr>
      <t xml:space="preserve">11:15-12:00 </t>
    </r>
    <r>
      <rPr>
        <b/>
        <sz val="14"/>
        <rFont val="宋体"/>
        <family val="3"/>
        <charset val="134"/>
      </rPr>
      <t>）</t>
    </r>
    <r>
      <rPr>
        <b/>
        <sz val="14"/>
        <rFont val="Times New Roman"/>
        <family val="1"/>
      </rPr>
      <t xml:space="preserve"> </t>
    </r>
    <r>
      <rPr>
        <b/>
        <sz val="14"/>
        <rFont val="宋体"/>
        <family val="3"/>
        <charset val="134"/>
      </rPr>
      <t>第</t>
    </r>
    <r>
      <rPr>
        <b/>
        <sz val="14"/>
        <rFont val="Times New Roman"/>
        <family val="1"/>
      </rPr>
      <t>5</t>
    </r>
    <r>
      <rPr>
        <b/>
        <sz val="14"/>
        <rFont val="宋体"/>
        <family val="3"/>
        <charset val="134"/>
      </rPr>
      <t>节</t>
    </r>
    <r>
      <rPr>
        <b/>
        <sz val="14"/>
        <rFont val="Times New Roman"/>
        <family val="1"/>
      </rPr>
      <t xml:space="preserve"> 14:10-14:55 </t>
    </r>
    <r>
      <rPr>
        <b/>
        <sz val="14"/>
        <rFont val="宋体"/>
        <family val="3"/>
        <charset val="134"/>
      </rPr>
      <t>第</t>
    </r>
    <r>
      <rPr>
        <b/>
        <sz val="14"/>
        <rFont val="Times New Roman"/>
        <family val="1"/>
      </rPr>
      <t>6</t>
    </r>
    <r>
      <rPr>
        <b/>
        <sz val="14"/>
        <rFont val="宋体"/>
        <family val="3"/>
        <charset val="134"/>
      </rPr>
      <t>节</t>
    </r>
    <r>
      <rPr>
        <b/>
        <sz val="14"/>
        <rFont val="Times New Roman"/>
        <family val="1"/>
      </rPr>
      <t xml:space="preserve"> 15:05-15:50 </t>
    </r>
    <r>
      <rPr>
        <b/>
        <sz val="14"/>
        <rFont val="宋体"/>
        <family val="3"/>
        <charset val="134"/>
      </rPr>
      <t>第</t>
    </r>
    <r>
      <rPr>
        <b/>
        <sz val="14"/>
        <rFont val="Times New Roman"/>
        <family val="1"/>
      </rPr>
      <t>7</t>
    </r>
    <r>
      <rPr>
        <b/>
        <sz val="14"/>
        <rFont val="宋体"/>
        <family val="3"/>
        <charset val="134"/>
      </rPr>
      <t>、</t>
    </r>
    <r>
      <rPr>
        <b/>
        <sz val="14"/>
        <rFont val="Times New Roman"/>
        <family val="1"/>
      </rPr>
      <t>8</t>
    </r>
    <r>
      <rPr>
        <b/>
        <sz val="14"/>
        <rFont val="宋体"/>
        <family val="3"/>
        <charset val="134"/>
      </rPr>
      <t>节</t>
    </r>
    <r>
      <rPr>
        <b/>
        <sz val="14"/>
        <rFont val="Times New Roman"/>
        <family val="1"/>
      </rPr>
      <t xml:space="preserve"> 19:00-20:30</t>
    </r>
    <r>
      <rPr>
        <b/>
        <sz val="14"/>
        <rFont val="宋体"/>
        <family val="3"/>
        <charset val="134"/>
      </rPr>
      <t>）</t>
    </r>
  </si>
  <si>
    <t>人数</t>
  </si>
  <si>
    <t>六1∽2</t>
  </si>
  <si>
    <t>六3∽4</t>
  </si>
  <si>
    <t>六5∽6</t>
  </si>
  <si>
    <t>六7~8</t>
  </si>
  <si>
    <t>日1∽2</t>
  </si>
  <si>
    <t>日3∽4</t>
  </si>
  <si>
    <t>日5∽6</t>
  </si>
  <si>
    <t>日7~8</t>
  </si>
  <si>
    <t>一1∽2</t>
  </si>
  <si>
    <t>一3∽4</t>
  </si>
  <si>
    <t>一5∽6</t>
  </si>
  <si>
    <t>一7~8</t>
  </si>
  <si>
    <t>二1∽2</t>
  </si>
  <si>
    <t>二3∽4</t>
  </si>
  <si>
    <t>二5∽6</t>
  </si>
  <si>
    <t>二7~8</t>
  </si>
  <si>
    <t>三1∽2</t>
  </si>
  <si>
    <t>三3∽4</t>
  </si>
  <si>
    <t>三5∽6</t>
  </si>
  <si>
    <t>三7~8</t>
  </si>
  <si>
    <t>四1∽2</t>
  </si>
  <si>
    <t>四3∽4</t>
  </si>
  <si>
    <t>四5∽6</t>
  </si>
  <si>
    <t>四7~8</t>
  </si>
  <si>
    <t>五1∽2</t>
  </si>
  <si>
    <t>五3∽4</t>
  </si>
  <si>
    <t>五5∽6</t>
  </si>
  <si>
    <t>23大数据与会计(五年制)</t>
  </si>
  <si>
    <t>教材发放
劳动教育
-班主任</t>
  </si>
  <si>
    <t>班级事务
-班主任安排
班会教室</t>
  </si>
  <si>
    <t>军事理论教育
肖锋
报告厅</t>
  </si>
  <si>
    <t>资助政策
吴一峰
践行楼201</t>
  </si>
  <si>
    <t>晚自习
班会教室</t>
  </si>
  <si>
    <t>心理健康教育
钟健友
报告厅</t>
  </si>
  <si>
    <t>团课
黎海春
践行楼201</t>
  </si>
  <si>
    <t>党的知识
邱航
报告厅</t>
  </si>
  <si>
    <t>学籍与考试管理
李含笑
践行楼201</t>
  </si>
  <si>
    <t>安全教育
刘湘力
报告厅</t>
  </si>
  <si>
    <t>校史学习
刘湘力
报告厅</t>
  </si>
  <si>
    <t>学生管理规定
叶凡
践行楼201</t>
  </si>
  <si>
    <t>自主复习</t>
  </si>
  <si>
    <t>入学教育考试
曾舒琪
映荷楼201</t>
  </si>
  <si>
    <t>23计算机应用技术(五年制)</t>
  </si>
  <si>
    <t>23工程造价1</t>
  </si>
  <si>
    <t>入学教育考试
黎海春
践行楼201</t>
  </si>
  <si>
    <t>23工程造价2</t>
  </si>
  <si>
    <t>资助政策
吴一峰
践行楼202</t>
  </si>
  <si>
    <t>团课
黎海春
践行楼202</t>
  </si>
  <si>
    <t>学籍与考试管理
李含笑
践行楼202</t>
  </si>
  <si>
    <t>23工程造价3</t>
  </si>
  <si>
    <t>入学教育考试
肖继林
践行楼203</t>
  </si>
  <si>
    <t>23学前教育4</t>
  </si>
  <si>
    <t>入学教育考试
叶凡
践行楼102</t>
  </si>
  <si>
    <t>23工程测量技术</t>
  </si>
  <si>
    <t>23建设工程管理</t>
  </si>
  <si>
    <t>入学教育考试
廖静
映荷楼301</t>
  </si>
  <si>
    <t>23建筑工程技术1</t>
  </si>
  <si>
    <t>入学教育考试
叶群群
践行楼101</t>
  </si>
  <si>
    <t>23建筑工程技术2</t>
  </si>
  <si>
    <t>资助政策
吴一峰
践行楼203</t>
  </si>
  <si>
    <t>23建筑工程技术3</t>
  </si>
  <si>
    <t>入学教育考试
张涛
映荷楼302</t>
  </si>
  <si>
    <t>23建筑室内设计1</t>
  </si>
  <si>
    <t>学生管理规定
叶凡
践行楼203</t>
  </si>
  <si>
    <t>入学教育考试
黄子豪
映荷楼302</t>
  </si>
  <si>
    <t>23建筑室内设计2</t>
  </si>
  <si>
    <t>入学教育考试
陈燕
践行楼103</t>
  </si>
  <si>
    <t>23建筑室内设计3</t>
  </si>
  <si>
    <t>23建筑室内设计4</t>
  </si>
  <si>
    <t>入学教育考试
王诗怡
映荷楼303</t>
  </si>
  <si>
    <t>23建筑室内设计5</t>
  </si>
  <si>
    <t>团课
黎海春
映荷楼201</t>
  </si>
  <si>
    <t>学生管理规定
叶凡
映荷楼204</t>
  </si>
  <si>
    <t>资助政策
吴一峰
映荷楼201</t>
  </si>
  <si>
    <t>学籍与考试管理
李含笑
映荷楼302</t>
  </si>
  <si>
    <t>入学教育考试
欧阳谨
映荷楼402</t>
  </si>
  <si>
    <t>23建筑室内设计6</t>
  </si>
  <si>
    <t>心理健康教育
钟健友
践行楼203</t>
  </si>
  <si>
    <t>安全教育
刘湘力
践行楼203</t>
  </si>
  <si>
    <t>校史学习
刘湘力
践行楼102</t>
  </si>
  <si>
    <t>学籍与考试管理
李含笑
践行楼102</t>
  </si>
  <si>
    <t>党的知识
邱航
践行楼102</t>
  </si>
  <si>
    <t>军事理论教育
肖锋
践行楼202</t>
  </si>
  <si>
    <t>团课
黎海春
践行楼203</t>
  </si>
  <si>
    <t>23学前教育1</t>
  </si>
  <si>
    <t>入学教育考试
贺春
映荷楼304</t>
  </si>
  <si>
    <t>23学前教育7</t>
  </si>
  <si>
    <t>入学教育考试
王隆平
报告厅</t>
  </si>
  <si>
    <t>23学前教育2</t>
  </si>
  <si>
    <t>心理健康教育
钟健友
践行楼102</t>
  </si>
  <si>
    <t>安全教育
刘湘力
践行楼202</t>
  </si>
  <si>
    <t>学籍与考试管理
李含笑
映荷楼202</t>
  </si>
  <si>
    <t>资助政策
吴一峰
践行楼102</t>
  </si>
  <si>
    <t>党的知识
邱航
映荷楼202</t>
  </si>
  <si>
    <t>军事理论教育
肖锋
践行楼203</t>
  </si>
  <si>
    <t>入学教育考试
黄伟英
映荷楼403</t>
  </si>
  <si>
    <t>23学前教育3</t>
  </si>
  <si>
    <t>23学前教育5</t>
  </si>
  <si>
    <t>安全教育
刘湘力
践行楼401</t>
  </si>
  <si>
    <t>学籍与考试管理
李含笑
践行楼101</t>
  </si>
  <si>
    <t>学生管理规定
叶凡
践行楼102</t>
  </si>
  <si>
    <t>资助政策
吴一峰
践行楼101</t>
  </si>
  <si>
    <t>党的知识
邱航
践行楼202</t>
  </si>
  <si>
    <t>团课
黎海春
践行楼102</t>
  </si>
  <si>
    <t>军事理论教育
肖锋
践行楼103</t>
  </si>
  <si>
    <t>23学前教育6</t>
  </si>
  <si>
    <t>备注：
1、入学教育期间，部分班级开设“形势与政策”课程。
2、空余时间，由各班自己安排活动
3、教材发放时间以教务处通知为准</t>
  </si>
  <si>
    <t>2023-2024第一学期入学教育单班课表(10月7日起执行)</t>
  </si>
  <si>
    <t>班级</t>
  </si>
  <si>
    <t>班会教室：</t>
  </si>
  <si>
    <t>节次</t>
  </si>
  <si>
    <t>1--2</t>
  </si>
  <si>
    <t>3--4</t>
  </si>
  <si>
    <t>5--6</t>
  </si>
  <si>
    <t>7--8</t>
  </si>
  <si>
    <t>周六</t>
  </si>
  <si>
    <t>周日</t>
  </si>
  <si>
    <t>周一</t>
  </si>
  <si>
    <t>周二</t>
  </si>
  <si>
    <t>周三</t>
  </si>
  <si>
    <t>周四</t>
  </si>
  <si>
    <t>周五</t>
  </si>
  <si>
    <t>每节课起止时间（课间休息10分钟）：
                            第1节    08:10-08:55    
                            第2节    09:05-09:50   
                            第3节    映荷楼（10:05-10:50） 践行楼（10:20-11:05）   
                            第4节    映荷楼（11:00-11:45） 践行楼（11:15-12:00 ） 
                            第5节    14:10-14:55    
                            第6节    15:05-15:50  
                            第7、8节 19:00-20:30</t>
  </si>
  <si>
    <t>教师选择：</t>
  </si>
  <si>
    <t>吴一峰</t>
  </si>
  <si>
    <t>班级
节次及时间</t>
  </si>
  <si>
    <t>践行楼403</t>
  </si>
  <si>
    <t>曾舒琪</t>
  </si>
  <si>
    <t>践行楼201</t>
  </si>
  <si>
    <t>黎海春</t>
  </si>
  <si>
    <t>践行楼102</t>
  </si>
  <si>
    <t>肖继林</t>
  </si>
  <si>
    <t>映荷楼304</t>
  </si>
  <si>
    <t>廖静</t>
  </si>
  <si>
    <t>践行楼203</t>
  </si>
  <si>
    <t>叶群群</t>
  </si>
  <si>
    <t>映荷楼204</t>
  </si>
  <si>
    <t>张涛</t>
  </si>
  <si>
    <t>映荷楼203</t>
  </si>
  <si>
    <t>黄子豪</t>
  </si>
  <si>
    <t>践行楼202</t>
  </si>
  <si>
    <t>陈燕</t>
  </si>
  <si>
    <t>映荷楼303</t>
  </si>
  <si>
    <t>王诗怡</t>
  </si>
  <si>
    <t>映荷楼202</t>
  </si>
  <si>
    <t>欧阳瑾</t>
  </si>
  <si>
    <t>映荷楼201</t>
  </si>
  <si>
    <t>贺春</t>
  </si>
  <si>
    <t>践行楼401</t>
  </si>
  <si>
    <t>黄伟英</t>
  </si>
  <si>
    <t>践行楼104</t>
  </si>
  <si>
    <t>叶凡</t>
  </si>
  <si>
    <t>报告厅</t>
  </si>
  <si>
    <t>王隆平</t>
  </si>
  <si>
    <t>李含笑</t>
  </si>
  <si>
    <t>钟健友</t>
  </si>
  <si>
    <t>刘湘力</t>
  </si>
  <si>
    <t>肖锋</t>
  </si>
  <si>
    <t>邱航</t>
  </si>
  <si>
    <t>映荷楼201 映荷楼202 映荷楼203 映荷楼204 映荷楼303 映荷楼304 践行楼102 践行楼104 践行楼201 践行楼202 践行楼203 践行楼401 践行楼403 报告厅</t>
  </si>
  <si>
    <t>映荷楼202 映荷楼203 映荷楼204 映荷楼301 映荷楼302 映荷楼303 映荷楼304 映荷楼305 映荷楼402 映荷楼403 映荷楼404 践行楼104 践行楼201 践行楼202 践行楼401 践行楼403 报告厅</t>
  </si>
  <si>
    <t>映荷楼302 映荷楼303 映荷楼305 映荷楼402 映荷楼403 践行楼101 践行楼103 践行楼104 践行楼201 践行楼202 践行楼203 践行楼401 践行楼403 报告厅</t>
  </si>
  <si>
    <t>映荷楼202 映荷楼301 映荷楼302 映荷楼303 映荷楼305 映荷楼402 映荷楼403 映荷楼404 践行楼102 践行楼103 践行楼104 践行楼201 践行楼202 践行楼203 践行楼401 践行楼403 报告厅</t>
  </si>
  <si>
    <t>映荷楼203 映荷楼301 映荷楼302 映荷楼303 映荷楼304 映荷楼305 映荷楼402 映荷楼403 映荷楼404 践行楼101 践行楼103 践行楼104 践行楼201 践行楼202 践行楼203 践行楼401 践行楼403 报告厅</t>
  </si>
  <si>
    <t>映荷楼201 映荷楼204 映荷楼301 映荷楼302 映荷楼303 映荷楼304 映荷楼305 映荷楼402 映荷楼403 映荷楼404 践行楼104 践行楼201 践行楼202 践行楼203 践行楼401 践行楼403 报告厅</t>
  </si>
  <si>
    <t>映荷楼201 映荷楼301 映荷楼302 映荷楼303 映荷楼304 映荷楼305 映荷楼402 映荷楼403 映荷楼404 践行楼101 践行楼102 践行楼103 践行楼104 践行楼201 践行楼203 践行楼401 践行楼403 报告厅</t>
  </si>
  <si>
    <r>
      <t xml:space="preserve"> 形势与政策                 李银
践行楼</t>
    </r>
    <r>
      <rPr>
        <sz val="10"/>
        <color theme="1"/>
        <rFont val="宋体"/>
        <family val="3"/>
        <charset val="134"/>
        <scheme val="minor"/>
      </rPr>
      <t>101</t>
    </r>
    <phoneticPr fontId="43" type="noConversion"/>
  </si>
  <si>
    <r>
      <t xml:space="preserve"> 形势与政策                 李银
践行楼</t>
    </r>
    <r>
      <rPr>
        <sz val="10"/>
        <color theme="1"/>
        <rFont val="宋体"/>
        <family val="3"/>
        <charset val="134"/>
        <scheme val="minor"/>
      </rPr>
      <t>102</t>
    </r>
    <phoneticPr fontId="43" type="noConversion"/>
  </si>
  <si>
    <t>映荷楼201 映荷楼204 映荷楼301 映荷楼302 映荷楼303 映荷楼304 映荷楼305 映荷楼402 映荷楼403 映荷楼404 践行楼104 践行楼403</t>
    <phoneticPr fontId="43" type="noConversion"/>
  </si>
  <si>
    <t>映荷楼201 映荷楼301 映荷楼302 映荷楼303 映荷楼304 映荷楼305 映荷楼402 映荷楼403 映荷楼404 践行楼103 践行楼104 践行楼401 践行楼403</t>
    <phoneticPr fontId="43" type="noConversion"/>
  </si>
  <si>
    <r>
      <t xml:space="preserve"> 形势与政策                 李银
践行楼</t>
    </r>
    <r>
      <rPr>
        <sz val="10"/>
        <color theme="1"/>
        <rFont val="宋体"/>
        <family val="3"/>
        <charset val="134"/>
        <scheme val="minor"/>
      </rPr>
      <t>104</t>
    </r>
    <phoneticPr fontId="43" type="noConversion"/>
  </si>
  <si>
    <t xml:space="preserve"> 形势与政策                 李银
践行楼104</t>
    <phoneticPr fontId="43" type="noConversion"/>
  </si>
  <si>
    <t>映荷楼301 映荷楼302 映荷楼303 映荷楼305 映荷楼402 映荷楼403 践行楼401 践行楼403</t>
    <phoneticPr fontId="43" type="noConversion"/>
  </si>
  <si>
    <t>映荷楼203 映荷楼302 映荷楼303 映荷楼305 映荷楼402 映荷楼403 践行楼104 践行楼401 践行楼403</t>
    <phoneticPr fontId="43" type="noConversion"/>
  </si>
  <si>
    <t>映荷楼201 映荷楼301 映荷楼302 映荷楼303 映荷楼304 映荷楼305 映荷楼402 映荷楼403 映荷楼404 践行楼403</t>
    <phoneticPr fontId="43" type="noConversion"/>
  </si>
  <si>
    <t>映荷楼201 映荷楼202 映荷楼203 映荷楼204 映荷楼303 映荷楼304 践行楼102 践行楼104 践行楼203 践行楼401 践行楼403 报告厅</t>
    <phoneticPr fontId="43" type="noConversion"/>
  </si>
  <si>
    <t>映荷楼201 映荷楼302 映荷楼303 映荷楼305 映荷楼402 映荷楼403 映荷楼404 践行楼104 践行楼401 践行楼403</t>
    <phoneticPr fontId="43" type="noConversion"/>
  </si>
  <si>
    <t>形势与政策
潘威全
践行楼104</t>
    <phoneticPr fontId="43" type="noConversion"/>
  </si>
  <si>
    <r>
      <t xml:space="preserve"> 形势与政策                 李银
践行楼</t>
    </r>
    <r>
      <rPr>
        <sz val="10"/>
        <color theme="1"/>
        <rFont val="宋体"/>
        <family val="3"/>
        <charset val="134"/>
        <scheme val="minor"/>
      </rPr>
      <t>401</t>
    </r>
    <phoneticPr fontId="43" type="noConversion"/>
  </si>
  <si>
    <t>映荷楼201 映荷楼302 映荷楼303 映荷楼305 映荷楼402 映荷楼403 践行楼403</t>
    <phoneticPr fontId="43" type="noConversion"/>
  </si>
  <si>
    <t>李银</t>
    <phoneticPr fontId="43" type="noConversion"/>
  </si>
  <si>
    <t>潘威全</t>
    <phoneticPr fontId="43" type="noConversion"/>
  </si>
  <si>
    <t>映荷楼201 映荷楼203 映荷楼301 映荷楼302 映荷楼303 映荷楼304 映荷楼305 映荷楼402 映荷楼403 践行楼104 践行楼401 践行楼403</t>
    <phoneticPr fontId="43" type="noConversion"/>
  </si>
  <si>
    <r>
      <t xml:space="preserve"> 形势与政策                 李银
践行楼</t>
    </r>
    <r>
      <rPr>
        <sz val="10"/>
        <color theme="1"/>
        <rFont val="宋体"/>
        <family val="3"/>
        <charset val="134"/>
        <scheme val="minor"/>
      </rPr>
      <t>201</t>
    </r>
    <phoneticPr fontId="43" type="noConversion"/>
  </si>
  <si>
    <t>学生管理规定
叶凡
践行楼101</t>
    <phoneticPr fontId="43" type="noConversion"/>
  </si>
  <si>
    <t>映荷楼203 映荷楼204 映荷楼301 映荷楼302 映荷楼303 映荷楼304 映荷楼305 映荷楼402 映荷楼403 映荷楼404 践行楼104 践行楼401 践行楼403</t>
    <phoneticPr fontId="43" type="noConversion"/>
  </si>
  <si>
    <t>校史学习
刘湘力
践行楼401</t>
    <phoneticPr fontId="43" type="noConversion"/>
  </si>
  <si>
    <t xml:space="preserve"> 形势与政策                 李银
践行楼201</t>
    <phoneticPr fontId="43" type="noConversion"/>
  </si>
  <si>
    <t>形势与政策
潘威全
践行楼202</t>
    <phoneticPr fontId="43" type="noConversion"/>
  </si>
  <si>
    <t xml:space="preserve"> 形势与政策                 李银
践行楼102</t>
    <phoneticPr fontId="43" type="noConversion"/>
  </si>
  <si>
    <t>形势与政策
潘威全
践行楼103</t>
    <phoneticPr fontId="43" type="noConversion"/>
  </si>
  <si>
    <t>映荷楼201 映荷楼202 映荷楼203 映荷楼204 映荷楼303 映荷楼304 践行楼102 践行楼104  践行楼202 践行楼203 践行楼401 践行楼403</t>
    <phoneticPr fontId="43" type="noConversion"/>
  </si>
  <si>
    <t>映荷楼103 映荷楼203 映荷楼301 映荷楼302 映荷楼303 映荷楼304 映荷楼305 映荷楼402 映荷楼403 映荷楼404 践行楼401 践行楼403</t>
    <phoneticPr fontId="43" type="noConversion"/>
  </si>
  <si>
    <t>映荷楼303 映荷楼305 映荷楼402 映荷楼403 践行楼101 践行楼401 践行楼403</t>
    <phoneticPr fontId="43" type="noConversion"/>
  </si>
  <si>
    <t>映荷楼202 映荷楼301 映荷楼302 映荷楼303 映荷楼305 映荷楼402 映荷楼403 映荷楼404 践行楼104 践行楼401 践行楼403</t>
    <phoneticPr fontId="43" type="noConversion"/>
  </si>
  <si>
    <t xml:space="preserve"> 形势与政策                 李银
践行楼101</t>
    <phoneticPr fontId="43" type="noConversion"/>
  </si>
  <si>
    <t>映荷楼203 映荷楼301 映荷楼302 映荷楼303 映荷楼304 映荷楼305 映荷楼402 映荷楼403 映荷楼404 践行楼104 践行楼401 践行楼403</t>
    <phoneticPr fontId="43" type="noConversion"/>
  </si>
  <si>
    <t xml:space="preserve"> 形势与政策                 李银
报告厅</t>
    <phoneticPr fontId="43" type="noConversion"/>
  </si>
  <si>
    <t>3次报告厅</t>
    <phoneticPr fontId="43" type="noConversion"/>
  </si>
  <si>
    <t>总人数</t>
    <phoneticPr fontId="43" type="noConversion"/>
  </si>
  <si>
    <t>一次单班课人数</t>
    <phoneticPr fontId="43" type="noConversion"/>
  </si>
  <si>
    <t>3次报告厅人数</t>
    <phoneticPr fontId="43" type="noConversion"/>
  </si>
  <si>
    <t>10次合班课</t>
    <phoneticPr fontId="43" type="noConversion"/>
  </si>
  <si>
    <t>3次合班课</t>
    <phoneticPr fontId="43" type="noConversion"/>
  </si>
  <si>
    <t>入学教育考试
欧阳瑾
映荷楼402</t>
    <phoneticPr fontId="43" type="noConversion"/>
  </si>
  <si>
    <t>空闲教室</t>
    <phoneticPr fontId="43" type="noConversion"/>
  </si>
  <si>
    <t>形式与政策</t>
    <phoneticPr fontId="43" type="noConversion"/>
  </si>
  <si>
    <t>潘威全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</si>
</sst>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name val="宋体"/>
      <charset val="134"/>
    </font>
    <font>
      <sz val="1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4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48"/>
      <name val="宋体"/>
      <family val="3"/>
      <charset val="134"/>
    </font>
    <font>
      <b/>
      <sz val="18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  <font>
      <b/>
      <sz val="14"/>
      <name val="Times New Roman"/>
      <family val="1"/>
    </font>
    <font>
      <b/>
      <sz val="10"/>
      <color theme="1"/>
      <name val="宋体"/>
      <family val="3"/>
      <charset val="134"/>
      <scheme val="minor"/>
    </font>
    <font>
      <b/>
      <sz val="11"/>
      <color rgb="FF000000"/>
      <name val="SimSun"/>
      <charset val="134"/>
    </font>
    <font>
      <b/>
      <sz val="9"/>
      <color rgb="FF000000"/>
      <name val="宋体"/>
      <family val="3"/>
      <charset val="134"/>
      <scheme val="minor"/>
    </font>
    <font>
      <b/>
      <sz val="16"/>
      <name val="宋体"/>
      <family val="3"/>
      <charset val="134"/>
    </font>
    <font>
      <sz val="10"/>
      <color rgb="FF0061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rgb="FF9C5700"/>
      <name val="宋体"/>
      <family val="3"/>
      <charset val="134"/>
      <scheme val="minor"/>
    </font>
    <font>
      <sz val="10"/>
      <color rgb="FF3F3F76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rgb="FFFA7D00"/>
      <name val="宋体"/>
      <family val="3"/>
      <charset val="134"/>
      <scheme val="minor"/>
    </font>
    <font>
      <sz val="10"/>
      <color rgb="FF9C0006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rgb="FF9C57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color rgb="FFFA7D00"/>
      <name val="宋体"/>
      <family val="3"/>
      <charset val="134"/>
      <scheme val="minor"/>
    </font>
    <font>
      <b/>
      <sz val="9"/>
      <color rgb="FF00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">
    <xf numFmtId="0" fontId="0" fillId="0" borderId="0"/>
    <xf numFmtId="0" fontId="33" fillId="12" borderId="12" applyNumberFormat="0" applyFont="0" applyAlignment="0" applyProtection="0">
      <alignment vertical="center"/>
    </xf>
    <xf numFmtId="0" fontId="14" fillId="0" borderId="0">
      <alignment vertical="center"/>
    </xf>
    <xf numFmtId="0" fontId="1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/>
    <xf numFmtId="0" fontId="39" fillId="0" borderId="0">
      <alignment vertical="center"/>
    </xf>
    <xf numFmtId="0" fontId="36" fillId="9" borderId="11" applyNumberFormat="0" applyAlignment="0" applyProtection="0">
      <alignment vertical="center"/>
    </xf>
    <xf numFmtId="0" fontId="38" fillId="10" borderId="11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33" fillId="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33" fillId="0" borderId="0">
      <alignment vertical="center"/>
    </xf>
  </cellStyleXfs>
  <cellXfs count="86">
    <xf numFmtId="0" fontId="0" fillId="0" borderId="0" xfId="0"/>
    <xf numFmtId="0" fontId="1" fillId="0" borderId="0" xfId="1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11" applyFont="1" applyAlignment="1">
      <alignment horizontal="left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0" xfId="11" applyFont="1"/>
    <xf numFmtId="0" fontId="7" fillId="0" borderId="0" xfId="11" applyFont="1"/>
    <xf numFmtId="0" fontId="9" fillId="2" borderId="3" xfId="11" applyFont="1" applyFill="1" applyBorder="1" applyAlignment="1">
      <alignment horizontal="center" vertical="center" wrapText="1"/>
    </xf>
    <xf numFmtId="0" fontId="4" fillId="0" borderId="3" xfId="11" applyFont="1" applyBorder="1" applyAlignment="1">
      <alignment horizontal="center" vertical="center" wrapText="1"/>
    </xf>
    <xf numFmtId="0" fontId="10" fillId="0" borderId="3" xfId="11" applyFont="1" applyBorder="1" applyAlignment="1">
      <alignment horizontal="center" vertical="center" wrapText="1"/>
    </xf>
    <xf numFmtId="0" fontId="6" fillId="3" borderId="0" xfId="11" applyFont="1" applyFill="1" applyAlignment="1">
      <alignment horizontal="center" vertical="center"/>
    </xf>
    <xf numFmtId="0" fontId="7" fillId="0" borderId="3" xfId="11" applyFont="1" applyBorder="1" applyAlignment="1">
      <alignment horizontal="center" vertical="center"/>
    </xf>
    <xf numFmtId="0" fontId="7" fillId="4" borderId="3" xfId="11" applyFont="1" applyFill="1" applyBorder="1" applyAlignment="1">
      <alignment horizontal="right" vertical="center"/>
    </xf>
    <xf numFmtId="0" fontId="1" fillId="0" borderId="3" xfId="11" applyBorder="1" applyAlignment="1">
      <alignment horizontal="center" vertical="center" wrapText="1"/>
    </xf>
    <xf numFmtId="0" fontId="7" fillId="4" borderId="3" xfId="11" applyFont="1" applyFill="1" applyBorder="1" applyAlignment="1">
      <alignment horizontal="left" vertical="center"/>
    </xf>
    <xf numFmtId="0" fontId="7" fillId="4" borderId="3" xfId="11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7" fillId="0" borderId="0" xfId="0" applyFont="1"/>
    <xf numFmtId="0" fontId="16" fillId="0" borderId="0" xfId="0" applyFont="1"/>
    <xf numFmtId="0" fontId="16" fillId="5" borderId="0" xfId="0" applyFont="1" applyFill="1"/>
    <xf numFmtId="0" fontId="4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1" fillId="3" borderId="0" xfId="0" applyFont="1" applyFill="1" applyAlignment="1">
      <alignment wrapText="1"/>
    </xf>
    <xf numFmtId="58" fontId="16" fillId="0" borderId="0" xfId="0" applyNumberFormat="1" applyFont="1" applyAlignment="1">
      <alignment vertical="top"/>
    </xf>
    <xf numFmtId="0" fontId="22" fillId="6" borderId="3" xfId="16" applyFont="1" applyBorder="1" applyAlignment="1">
      <alignment horizontal="center" vertical="center" wrapText="1"/>
    </xf>
    <xf numFmtId="0" fontId="23" fillId="7" borderId="3" xfId="19" applyFont="1" applyBorder="1" applyAlignment="1">
      <alignment horizontal="center" wrapText="1"/>
    </xf>
    <xf numFmtId="0" fontId="1" fillId="0" borderId="3" xfId="0" applyFont="1" applyBorder="1"/>
    <xf numFmtId="0" fontId="24" fillId="0" borderId="3" xfId="2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5" fillId="8" borderId="3" xfId="15" applyFont="1" applyBorder="1" applyAlignment="1">
      <alignment horizontal="center" vertical="center" wrapText="1"/>
    </xf>
    <xf numFmtId="0" fontId="26" fillId="9" borderId="9" xfId="13" applyFont="1" applyBorder="1" applyAlignment="1">
      <alignment horizontal="center" vertical="center" wrapText="1"/>
    </xf>
    <xf numFmtId="0" fontId="26" fillId="9" borderId="10" xfId="13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8" xfId="0" applyFont="1" applyBorder="1"/>
    <xf numFmtId="0" fontId="26" fillId="9" borderId="3" xfId="13" applyFont="1" applyBorder="1" applyAlignment="1">
      <alignment horizontal="center" vertical="center" wrapText="1"/>
    </xf>
    <xf numFmtId="0" fontId="27" fillId="0" borderId="3" xfId="20" applyFont="1" applyBorder="1" applyAlignment="1">
      <alignment horizontal="center" vertical="center" wrapText="1"/>
    </xf>
    <xf numFmtId="0" fontId="28" fillId="10" borderId="3" xfId="14" applyFont="1" applyBorder="1" applyAlignment="1">
      <alignment horizontal="center" vertical="center" wrapText="1"/>
    </xf>
    <xf numFmtId="0" fontId="16" fillId="0" borderId="3" xfId="0" applyFont="1" applyBorder="1"/>
    <xf numFmtId="0" fontId="1" fillId="0" borderId="3" xfId="0" applyFont="1" applyBorder="1" applyAlignment="1">
      <alignment horizontal="center" wrapText="1"/>
    </xf>
    <xf numFmtId="0" fontId="29" fillId="11" borderId="3" xfId="17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58" fontId="16" fillId="5" borderId="0" xfId="0" applyNumberFormat="1" applyFont="1" applyFill="1" applyAlignment="1">
      <alignment vertical="top"/>
    </xf>
    <xf numFmtId="0" fontId="1" fillId="12" borderId="3" xfId="1" applyFont="1" applyBorder="1" applyAlignment="1">
      <alignment horizontal="center" vertical="center" wrapText="1"/>
    </xf>
    <xf numFmtId="58" fontId="31" fillId="5" borderId="0" xfId="0" applyNumberFormat="1" applyFont="1" applyFill="1" applyAlignment="1">
      <alignment vertical="top"/>
    </xf>
    <xf numFmtId="0" fontId="5" fillId="0" borderId="3" xfId="3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vertical="center" wrapText="1"/>
    </xf>
    <xf numFmtId="0" fontId="18" fillId="0" borderId="3" xfId="0" quotePrefix="1" applyFont="1" applyBorder="1" applyAlignment="1">
      <alignment horizontal="center" vertical="center" wrapText="1"/>
    </xf>
    <xf numFmtId="0" fontId="30" fillId="0" borderId="3" xfId="0" quotePrefix="1" applyFont="1" applyBorder="1" applyAlignment="1">
      <alignment horizontal="center" vertical="center" wrapText="1"/>
    </xf>
    <xf numFmtId="0" fontId="32" fillId="0" borderId="3" xfId="0" quotePrefix="1" applyFont="1" applyBorder="1" applyAlignment="1">
      <alignment horizontal="center" vertical="center" wrapText="1"/>
    </xf>
    <xf numFmtId="0" fontId="8" fillId="0" borderId="4" xfId="11" quotePrefix="1" applyFont="1" applyBorder="1" applyAlignment="1">
      <alignment horizontal="center" vertical="center" wrapText="1"/>
    </xf>
    <xf numFmtId="0" fontId="9" fillId="2" borderId="3" xfId="11" quotePrefix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5" fillId="8" borderId="0" xfId="15" applyFont="1" applyBorder="1" applyAlignment="1">
      <alignment horizontal="center" vertical="center" wrapText="1"/>
    </xf>
    <xf numFmtId="0" fontId="44" fillId="0" borderId="3" xfId="2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wrapText="1"/>
    </xf>
    <xf numFmtId="0" fontId="45" fillId="10" borderId="3" xfId="14" applyFont="1" applyBorder="1" applyAlignment="1">
      <alignment horizontal="center" vertical="center" wrapText="1"/>
    </xf>
    <xf numFmtId="0" fontId="46" fillId="0" borderId="3" xfId="0" applyFont="1" applyBorder="1" applyAlignment="1">
      <alignment horizontal="left" vertical="center" wrapText="1"/>
    </xf>
    <xf numFmtId="0" fontId="23" fillId="3" borderId="3" xfId="20" applyFont="1" applyFill="1" applyBorder="1" applyAlignment="1">
      <alignment horizontal="center" vertical="center" wrapText="1"/>
    </xf>
    <xf numFmtId="0" fontId="44" fillId="3" borderId="3" xfId="2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2" fillId="3" borderId="0" xfId="11" applyFont="1" applyFill="1"/>
    <xf numFmtId="0" fontId="2" fillId="3" borderId="0" xfId="0" applyFont="1" applyFill="1" applyAlignment="1">
      <alignment horizontal="left" vertical="center" wrapText="1"/>
    </xf>
    <xf numFmtId="0" fontId="1" fillId="3" borderId="0" xfId="11" applyFill="1"/>
    <xf numFmtId="0" fontId="17" fillId="0" borderId="0" xfId="0" applyFont="1" applyAlignment="1">
      <alignment horizontal="center" vertical="center" wrapText="1"/>
    </xf>
    <xf numFmtId="0" fontId="12" fillId="0" borderId="3" xfId="11" applyFont="1" applyBorder="1" applyAlignment="1">
      <alignment horizontal="center" vertical="center" wrapText="1"/>
    </xf>
    <xf numFmtId="0" fontId="12" fillId="0" borderId="3" xfId="11" applyFont="1" applyBorder="1" applyAlignment="1">
      <alignment horizontal="center" vertical="center"/>
    </xf>
    <xf numFmtId="0" fontId="7" fillId="0" borderId="3" xfId="11" applyFont="1" applyBorder="1" applyAlignment="1">
      <alignment horizontal="center" vertical="center"/>
    </xf>
    <xf numFmtId="0" fontId="13" fillId="0" borderId="3" xfId="11" applyFont="1" applyBorder="1" applyAlignment="1">
      <alignment horizontal="left" vertical="top" wrapText="1"/>
    </xf>
    <xf numFmtId="0" fontId="13" fillId="0" borderId="3" xfId="11" applyFont="1" applyBorder="1" applyAlignment="1">
      <alignment horizontal="left" vertical="top"/>
    </xf>
    <xf numFmtId="0" fontId="11" fillId="0" borderId="5" xfId="11" applyFont="1" applyBorder="1" applyAlignment="1">
      <alignment horizontal="center" vertical="center"/>
    </xf>
    <xf numFmtId="0" fontId="11" fillId="0" borderId="6" xfId="11" applyFont="1" applyBorder="1" applyAlignment="1">
      <alignment horizontal="center" vertical="center"/>
    </xf>
  </cellXfs>
  <cellStyles count="24">
    <cellStyle name="20% - 着色 2" xfId="19" builtinId="34"/>
    <cellStyle name="差" xfId="17" builtinId="27"/>
    <cellStyle name="常规" xfId="0" builtinId="0"/>
    <cellStyle name="常规 12" xfId="12" xr:uid="{00000000-0005-0000-0000-00000C000000}"/>
    <cellStyle name="常规 13" xfId="11" xr:uid="{00000000-0005-0000-0000-00000B000000}"/>
    <cellStyle name="常规 14" xfId="10" xr:uid="{00000000-0005-0000-0000-00000A000000}"/>
    <cellStyle name="常规 14 2 2 2 2" xfId="21" xr:uid="{00000000-0005-0000-0000-000038000000}"/>
    <cellStyle name="常规 14 2 2 3" xfId="9" xr:uid="{00000000-0005-0000-0000-000009000000}"/>
    <cellStyle name="常规 14 2 2 3 2" xfId="8" xr:uid="{00000000-0005-0000-0000-000008000000}"/>
    <cellStyle name="常规 14 2 2 6" xfId="18" xr:uid="{00000000-0005-0000-0000-000025000000}"/>
    <cellStyle name="常规 15" xfId="7" xr:uid="{00000000-0005-0000-0000-000007000000}"/>
    <cellStyle name="常规 18 2" xfId="5" xr:uid="{00000000-0005-0000-0000-000005000000}"/>
    <cellStyle name="常规 19" xfId="4" xr:uid="{00000000-0005-0000-0000-000004000000}"/>
    <cellStyle name="常规 2" xfId="3" xr:uid="{00000000-0005-0000-0000-000003000000}"/>
    <cellStyle name="常规 20" xfId="6" xr:uid="{00000000-0005-0000-0000-000006000000}"/>
    <cellStyle name="常规 3" xfId="23" xr:uid="{00000000-0005-0000-0000-00003F000000}"/>
    <cellStyle name="常规 5" xfId="2" xr:uid="{00000000-0005-0000-0000-000002000000}"/>
    <cellStyle name="常规 7" xfId="22" xr:uid="{00000000-0005-0000-0000-00003D000000}"/>
    <cellStyle name="好" xfId="16" builtinId="26"/>
    <cellStyle name="计算" xfId="14" builtinId="22"/>
    <cellStyle name="警告文本" xfId="20" builtinId="11"/>
    <cellStyle name="适中" xfId="15" builtinId="28"/>
    <cellStyle name="输入" xfId="13" builtinId="20"/>
    <cellStyle name="注释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FF0000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2" sel="0" val="0"/>
</file>

<file path=xl/ctrlProps/ctrlProp2.xml><?xml version="1.0" encoding="utf-8"?>
<formControlPr xmlns="http://schemas.microsoft.com/office/spreadsheetml/2009/9/main" objectType="Drop" dropStyle="combo" dx="22" sel="0" val="0"/>
</file>

<file path=xl/ctrlProps/ctrlProp3.xml><?xml version="1.0" encoding="utf-8"?>
<formControlPr xmlns="http://schemas.microsoft.com/office/spreadsheetml/2009/9/main" objectType="Drop" dropStyle="combo" dx="22" sel="0" val="0"/>
</file>

<file path=xl/ctrlProps/ctrlProp4.xml><?xml version="1.0" encoding="utf-8"?>
<formControlPr xmlns="http://schemas.microsoft.com/office/spreadsheetml/2009/9/main" objectType="Drop" dropStyle="combo" dx="22" sel="0" val="0"/>
</file>

<file path=xl/ctrlProps/ctrlProp5.xml><?xml version="1.0" encoding="utf-8"?>
<formControlPr xmlns="http://schemas.microsoft.com/office/spreadsheetml/2009/9/main" objectType="Drop" dropStyle="combo" dx="22" sel="0" val="0"/>
</file>

<file path=xl/ctrlProps/ctrlProp6.xml><?xml version="1.0" encoding="utf-8"?>
<formControlPr xmlns="http://schemas.microsoft.com/office/spreadsheetml/2009/9/main" objectType="Drop" dropStyle="combo" dx="22" sel="0" val="0"/>
</file>

<file path=xl/ctrlProps/ctrlProp7.xml><?xml version="1.0" encoding="utf-8"?>
<formControlPr xmlns="http://schemas.microsoft.com/office/spreadsheetml/2009/9/main" objectType="Drop" dropStyle="combo" dx="22" sel="0" val="0"/>
</file>

<file path=xl/ctrlProps/ctrlProp8.xml><?xml version="1.0" encoding="utf-8"?>
<formControlPr xmlns="http://schemas.microsoft.com/office/spreadsheetml/2009/9/main" objectType="Drop" dropStyle="combo" dx="22" sel="0" val="0"/>
</file>

<file path=xl/ctrlProps/ctrlProp9.xml><?xml version="1.0" encoding="utf-8"?>
<formControlPr xmlns="http://schemas.microsoft.com/office/spreadsheetml/2009/9/main" objectType="Drop" dropStyle="combo" dx="22" sel="0" val="0"/>
</file>

<file path=xl/ctrlProps/ctrlProp10.xml><?xml version="1.0" encoding="utf-8"?>
<formControlPr xmlns="http://schemas.microsoft.com/office/spreadsheetml/2009/9/main" objectType="Drop" dropStyle="combo" dx="22" sel="0" val="0"/>
</file>

<file path=xl/ctrlProps/ctrlProp11.xml><?xml version="1.0" encoding="utf-8"?>
<formControlPr xmlns="http://schemas.microsoft.com/office/spreadsheetml/2009/9/main" objectType="Drop" dropStyle="combo" dx="22" sel="0" val="0"/>
</file>

<file path=xl/ctrlProps/ctrlProp12.xml><?xml version="1.0" encoding="utf-8"?>
<formControlPr xmlns="http://schemas.microsoft.com/office/spreadsheetml/2009/9/main" objectType="Drop" dropStyle="combo" dx="22" sel="0" val="0"/>
</file>

<file path=xl/ctrlProps/ctrlProp13.xml><?xml version="1.0" encoding="utf-8"?>
<formControlPr xmlns="http://schemas.microsoft.com/office/spreadsheetml/2009/9/main" objectType="Drop" dropStyle="combo" dx="22" sel="0" val="0"/>
</file>

<file path=xl/ctrlProps/ctrlProp14.xml><?xml version="1.0" encoding="utf-8"?>
<formControlPr xmlns="http://schemas.microsoft.com/office/spreadsheetml/2009/9/main" objectType="Drop" dropStyle="combo" dx="22" sel="0" val="0"/>
</file>

<file path=xl/ctrlProps/ctrlProp15.xml><?xml version="1.0" encoding="utf-8"?>
<formControlPr xmlns="http://schemas.microsoft.com/office/spreadsheetml/2009/9/main" objectType="Drop" dropStyle="combo" dx="22" sel="0" val="0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1</xdr:row>
      <xdr:rowOff>314960</xdr:rowOff>
    </xdr:from>
    <xdr:ext cx="484505" cy="22098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400" y="1038860"/>
          <a:ext cx="484505" cy="220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 b="1"/>
            <a:t>班级</a:t>
          </a:r>
        </a:p>
      </xdr:txBody>
    </xdr:sp>
    <xdr:clientData/>
  </xdr:oneCellAnchor>
  <xdr:oneCellAnchor>
    <xdr:from>
      <xdr:col>0</xdr:col>
      <xdr:colOff>817880</xdr:colOff>
      <xdr:row>1</xdr:row>
      <xdr:rowOff>43180</xdr:rowOff>
    </xdr:from>
    <xdr:ext cx="575945" cy="23241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17880" y="767080"/>
          <a:ext cx="575945" cy="2324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/>
            <a:t>节次</a:t>
          </a:r>
        </a:p>
      </xdr:txBody>
    </xdr:sp>
    <xdr:clientData/>
  </xdr:oneCellAnchor>
  <xdr:oneCellAnchor>
    <xdr:from>
      <xdr:col>0</xdr:col>
      <xdr:colOff>25400</xdr:colOff>
      <xdr:row>1</xdr:row>
      <xdr:rowOff>314960</xdr:rowOff>
    </xdr:from>
    <xdr:ext cx="484505" cy="220980"/>
    <xdr:sp macro="" textlink="">
      <xdr:nvSpPr>
        <xdr:cNvPr id="4" name="文本框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5400" y="1038860"/>
          <a:ext cx="484505" cy="220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 b="1"/>
            <a:t>班级</a:t>
          </a:r>
        </a:p>
      </xdr:txBody>
    </xdr:sp>
    <xdr:clientData/>
  </xdr:oneCellAnchor>
  <xdr:oneCellAnchor>
    <xdr:from>
      <xdr:col>0</xdr:col>
      <xdr:colOff>817880</xdr:colOff>
      <xdr:row>1</xdr:row>
      <xdr:rowOff>43180</xdr:rowOff>
    </xdr:from>
    <xdr:ext cx="575945" cy="232410"/>
    <xdr:sp macro="" textlink="">
      <xdr:nvSpPr>
        <xdr:cNvPr id="6" name="文本框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17880" y="767080"/>
          <a:ext cx="575945" cy="2324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/>
            <a:t>节次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1" name="Drop Down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2" name="Drop Dow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3" name="Drop Dow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4" name="Drop Dow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5" name="Drop Down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6" name="Drop Dow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7" name="Drop Down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8" name="Drop Down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09" name="Drop Down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10" name="Drop Down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120650</xdr:colOff>
          <xdr:row>2</xdr:row>
          <xdr:rowOff>0</xdr:rowOff>
        </xdr:to>
        <xdr:sp macro="" textlink="">
          <xdr:nvSpPr>
            <xdr:cNvPr id="4111" name="Drop Down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95250</xdr:rowOff>
    </xdr:from>
    <xdr:to>
      <xdr:col>5</xdr:col>
      <xdr:colOff>497752</xdr:colOff>
      <xdr:row>31</xdr:row>
      <xdr:rowOff>110793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0"/>
          <a:ext cx="5780952" cy="2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C27"/>
  <sheetViews>
    <sheetView zoomScale="55" zoomScaleNormal="55" workbookViewId="0">
      <pane xSplit="2" topLeftCell="G1" activePane="topRight" state="frozen"/>
      <selection pane="topRight" activeCell="T19" sqref="T19:T21"/>
    </sheetView>
  </sheetViews>
  <sheetFormatPr defaultColWidth="9" defaultRowHeight="13"/>
  <cols>
    <col min="1" max="1" width="30" style="23" customWidth="1"/>
    <col min="2" max="2" width="5.3984375" style="23" customWidth="1"/>
    <col min="3" max="9" width="21" style="24" customWidth="1"/>
    <col min="10" max="10" width="21" style="25" customWidth="1"/>
    <col min="11" max="11" width="21" style="24" customWidth="1"/>
    <col min="12" max="12" width="19.8984375" style="24" customWidth="1"/>
    <col min="13" max="13" width="22" style="24" customWidth="1"/>
    <col min="14" max="14" width="19.8984375" style="25" customWidth="1"/>
    <col min="15" max="15" width="20.8984375" style="24" customWidth="1"/>
    <col min="16" max="17" width="22.09765625" style="24" customWidth="1"/>
    <col min="18" max="18" width="20.8984375" style="25" customWidth="1"/>
    <col min="19" max="19" width="21.296875" style="24" customWidth="1"/>
    <col min="20" max="20" width="20" style="24" customWidth="1"/>
    <col min="21" max="21" width="21.09765625" style="24" customWidth="1"/>
    <col min="22" max="22" width="19.8984375" style="25" customWidth="1"/>
    <col min="23" max="23" width="20.5" style="24" customWidth="1"/>
    <col min="24" max="24" width="20.09765625" style="24" customWidth="1"/>
    <col min="25" max="25" width="21.3984375" style="24" customWidth="1"/>
    <col min="26" max="26" width="21" style="25" customWidth="1"/>
    <col min="27" max="27" width="19.8984375" style="24" customWidth="1"/>
    <col min="28" max="28" width="21.09765625" style="24" customWidth="1"/>
    <col min="29" max="29" width="8.8984375" customWidth="1"/>
  </cols>
  <sheetData>
    <row r="1" spans="1:29" ht="57" customHeigh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</row>
    <row r="2" spans="1:29" s="21" customFormat="1" ht="46.5" customHeight="1">
      <c r="A2" s="26"/>
      <c r="B2" s="6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I2" s="56" t="s">
        <v>8</v>
      </c>
      <c r="J2" s="56" t="s">
        <v>9</v>
      </c>
      <c r="K2" s="56" t="s">
        <v>10</v>
      </c>
      <c r="L2" s="56" t="s">
        <v>11</v>
      </c>
      <c r="M2" s="56" t="s">
        <v>12</v>
      </c>
      <c r="N2" s="56" t="s">
        <v>13</v>
      </c>
      <c r="O2" s="56" t="s">
        <v>14</v>
      </c>
      <c r="P2" s="56" t="s">
        <v>15</v>
      </c>
      <c r="Q2" s="56" t="s">
        <v>16</v>
      </c>
      <c r="R2" s="56" t="s">
        <v>17</v>
      </c>
      <c r="S2" s="56" t="s">
        <v>18</v>
      </c>
      <c r="T2" s="56" t="s">
        <v>19</v>
      </c>
      <c r="U2" s="56" t="s">
        <v>20</v>
      </c>
      <c r="V2" s="56" t="s">
        <v>21</v>
      </c>
      <c r="W2" s="56" t="s">
        <v>22</v>
      </c>
      <c r="X2" s="56" t="s">
        <v>23</v>
      </c>
      <c r="Y2" s="56" t="s">
        <v>24</v>
      </c>
      <c r="Z2" s="56" t="s">
        <v>25</v>
      </c>
      <c r="AA2" s="57" t="s">
        <v>26</v>
      </c>
      <c r="AB2" s="57" t="s">
        <v>27</v>
      </c>
      <c r="AC2" s="58" t="s">
        <v>28</v>
      </c>
    </row>
    <row r="3" spans="1:29" s="21" customFormat="1" ht="54.75" customHeight="1">
      <c r="A3" s="27" t="s">
        <v>29</v>
      </c>
      <c r="B3" s="70">
        <v>22</v>
      </c>
      <c r="C3" s="28" t="s">
        <v>30</v>
      </c>
      <c r="D3" s="28" t="s">
        <v>30</v>
      </c>
      <c r="E3" s="28" t="s">
        <v>30</v>
      </c>
      <c r="F3" s="28" t="s">
        <v>31</v>
      </c>
      <c r="G3" s="31" t="s">
        <v>32</v>
      </c>
      <c r="H3" s="32" t="s">
        <v>33</v>
      </c>
      <c r="I3" s="33"/>
      <c r="J3" s="28" t="s">
        <v>34</v>
      </c>
      <c r="K3" s="37" t="s">
        <v>35</v>
      </c>
      <c r="L3" s="34" t="s">
        <v>36</v>
      </c>
      <c r="M3" s="33"/>
      <c r="N3" s="28" t="s">
        <v>34</v>
      </c>
      <c r="O3" s="50" t="s">
        <v>37</v>
      </c>
      <c r="P3" s="47" t="s">
        <v>38</v>
      </c>
      <c r="Q3" s="9"/>
      <c r="R3" s="28" t="s">
        <v>34</v>
      </c>
      <c r="S3" s="42" t="s">
        <v>39</v>
      </c>
      <c r="T3" s="9"/>
      <c r="U3" s="9"/>
      <c r="V3" s="28" t="s">
        <v>34</v>
      </c>
      <c r="W3" s="46" t="s">
        <v>40</v>
      </c>
      <c r="X3" s="9"/>
      <c r="Y3" s="44" t="s">
        <v>41</v>
      </c>
      <c r="Z3" s="28" t="s">
        <v>34</v>
      </c>
      <c r="AA3" s="9" t="s">
        <v>42</v>
      </c>
      <c r="AB3" s="28" t="s">
        <v>43</v>
      </c>
      <c r="AC3" s="52"/>
    </row>
    <row r="4" spans="1:29" s="21" customFormat="1" ht="44.15" customHeight="1">
      <c r="A4" s="27" t="s">
        <v>44</v>
      </c>
      <c r="B4" s="70">
        <v>30</v>
      </c>
      <c r="C4" s="28" t="s">
        <v>30</v>
      </c>
      <c r="D4" s="28" t="s">
        <v>30</v>
      </c>
      <c r="E4" s="28" t="s">
        <v>30</v>
      </c>
      <c r="F4" s="28" t="s">
        <v>31</v>
      </c>
      <c r="G4" s="31" t="s">
        <v>32</v>
      </c>
      <c r="H4" s="32" t="s">
        <v>33</v>
      </c>
      <c r="I4" s="33"/>
      <c r="J4" s="28" t="s">
        <v>34</v>
      </c>
      <c r="K4" s="37" t="s">
        <v>35</v>
      </c>
      <c r="L4" s="34" t="s">
        <v>36</v>
      </c>
      <c r="M4" s="33"/>
      <c r="N4" s="28" t="s">
        <v>34</v>
      </c>
      <c r="O4" s="50" t="s">
        <v>37</v>
      </c>
      <c r="P4" s="47" t="s">
        <v>38</v>
      </c>
      <c r="Q4" s="9"/>
      <c r="R4" s="28" t="s">
        <v>34</v>
      </c>
      <c r="S4" s="42" t="s">
        <v>39</v>
      </c>
      <c r="T4" s="9"/>
      <c r="U4" s="9"/>
      <c r="V4" s="28" t="s">
        <v>34</v>
      </c>
      <c r="W4" s="46" t="s">
        <v>40</v>
      </c>
      <c r="X4" s="9"/>
      <c r="Y4" s="44" t="s">
        <v>41</v>
      </c>
      <c r="Z4" s="28" t="s">
        <v>34</v>
      </c>
      <c r="AA4" s="9" t="s">
        <v>42</v>
      </c>
      <c r="AB4" s="28" t="s">
        <v>43</v>
      </c>
      <c r="AC4" s="7"/>
    </row>
    <row r="5" spans="1:29" s="21" customFormat="1" ht="44.15" customHeight="1">
      <c r="A5" s="27" t="s">
        <v>45</v>
      </c>
      <c r="B5" s="70">
        <v>60</v>
      </c>
      <c r="C5" s="28" t="s">
        <v>30</v>
      </c>
      <c r="D5" s="28" t="s">
        <v>30</v>
      </c>
      <c r="E5" s="28" t="s">
        <v>30</v>
      </c>
      <c r="F5" s="28" t="s">
        <v>31</v>
      </c>
      <c r="G5" s="31" t="s">
        <v>32</v>
      </c>
      <c r="H5" s="32" t="s">
        <v>33</v>
      </c>
      <c r="I5" s="65" t="s">
        <v>169</v>
      </c>
      <c r="J5" s="28" t="s">
        <v>34</v>
      </c>
      <c r="K5" s="37" t="s">
        <v>35</v>
      </c>
      <c r="L5" s="34" t="s">
        <v>36</v>
      </c>
      <c r="M5" s="65" t="s">
        <v>173</v>
      </c>
      <c r="N5" s="28" t="s">
        <v>34</v>
      </c>
      <c r="O5" s="50" t="s">
        <v>37</v>
      </c>
      <c r="P5" s="47" t="s">
        <v>38</v>
      </c>
      <c r="Q5" s="65" t="s">
        <v>191</v>
      </c>
      <c r="R5" s="28" t="s">
        <v>34</v>
      </c>
      <c r="S5" s="42" t="s">
        <v>39</v>
      </c>
      <c r="T5" s="33"/>
      <c r="U5" s="9"/>
      <c r="V5" s="28" t="s">
        <v>34</v>
      </c>
      <c r="W5" s="46" t="s">
        <v>40</v>
      </c>
      <c r="X5" s="9"/>
      <c r="Y5" s="44" t="s">
        <v>41</v>
      </c>
      <c r="Z5" s="28" t="s">
        <v>34</v>
      </c>
      <c r="AA5" s="9" t="s">
        <v>42</v>
      </c>
      <c r="AB5" s="28" t="s">
        <v>46</v>
      </c>
      <c r="AC5" s="7"/>
    </row>
    <row r="6" spans="1:29" s="21" customFormat="1" ht="44.15" customHeight="1">
      <c r="A6" s="27" t="s">
        <v>47</v>
      </c>
      <c r="B6" s="70">
        <v>52</v>
      </c>
      <c r="C6" s="28" t="s">
        <v>30</v>
      </c>
      <c r="D6" s="28" t="s">
        <v>30</v>
      </c>
      <c r="E6" s="28" t="s">
        <v>30</v>
      </c>
      <c r="F6" s="28" t="s">
        <v>31</v>
      </c>
      <c r="G6" s="31" t="s">
        <v>32</v>
      </c>
      <c r="H6" s="33"/>
      <c r="I6" s="65" t="s">
        <v>169</v>
      </c>
      <c r="J6" s="28" t="s">
        <v>34</v>
      </c>
      <c r="K6" s="37" t="s">
        <v>35</v>
      </c>
      <c r="L6" s="32" t="s">
        <v>48</v>
      </c>
      <c r="M6" s="65" t="s">
        <v>173</v>
      </c>
      <c r="N6" s="28" t="s">
        <v>34</v>
      </c>
      <c r="O6" s="50" t="s">
        <v>37</v>
      </c>
      <c r="P6" s="34" t="s">
        <v>49</v>
      </c>
      <c r="Q6" s="65" t="s">
        <v>191</v>
      </c>
      <c r="R6" s="28" t="s">
        <v>34</v>
      </c>
      <c r="S6" s="42" t="s">
        <v>39</v>
      </c>
      <c r="T6" s="33"/>
      <c r="U6" s="9"/>
      <c r="V6" s="28" t="s">
        <v>34</v>
      </c>
      <c r="W6" s="46" t="s">
        <v>40</v>
      </c>
      <c r="X6" s="44" t="s">
        <v>41</v>
      </c>
      <c r="Y6" s="47" t="s">
        <v>50</v>
      </c>
      <c r="Z6" s="28" t="s">
        <v>34</v>
      </c>
      <c r="AA6" s="9" t="s">
        <v>42</v>
      </c>
      <c r="AB6" s="28" t="s">
        <v>46</v>
      </c>
      <c r="AC6" s="52"/>
    </row>
    <row r="7" spans="1:29" s="21" customFormat="1" ht="44.15" customHeight="1">
      <c r="A7" s="27" t="s">
        <v>51</v>
      </c>
      <c r="B7" s="70">
        <v>52</v>
      </c>
      <c r="C7" s="28" t="s">
        <v>30</v>
      </c>
      <c r="D7" s="28" t="s">
        <v>30</v>
      </c>
      <c r="E7" s="28" t="s">
        <v>30</v>
      </c>
      <c r="F7" s="28" t="s">
        <v>31</v>
      </c>
      <c r="G7" s="31" t="s">
        <v>32</v>
      </c>
      <c r="H7" s="33"/>
      <c r="I7" s="33"/>
      <c r="J7" s="28" t="s">
        <v>34</v>
      </c>
      <c r="K7" s="37" t="s">
        <v>35</v>
      </c>
      <c r="L7" s="32" t="s">
        <v>48</v>
      </c>
      <c r="M7" s="33"/>
      <c r="N7" s="73" t="s">
        <v>190</v>
      </c>
      <c r="O7" s="50" t="s">
        <v>37</v>
      </c>
      <c r="P7" s="34" t="s">
        <v>49</v>
      </c>
      <c r="Q7" s="33"/>
      <c r="R7" s="28" t="s">
        <v>34</v>
      </c>
      <c r="S7" s="42" t="s">
        <v>39</v>
      </c>
      <c r="T7" s="33"/>
      <c r="U7" s="9"/>
      <c r="V7" s="28" t="s">
        <v>34</v>
      </c>
      <c r="W7" s="46" t="s">
        <v>40</v>
      </c>
      <c r="X7" s="44" t="s">
        <v>41</v>
      </c>
      <c r="Y7" s="47" t="s">
        <v>50</v>
      </c>
      <c r="Z7" s="28" t="s">
        <v>34</v>
      </c>
      <c r="AA7" s="9" t="s">
        <v>42</v>
      </c>
      <c r="AB7" s="28" t="s">
        <v>52</v>
      </c>
      <c r="AC7" s="53"/>
    </row>
    <row r="8" spans="1:29" s="21" customFormat="1" ht="44.15" customHeight="1">
      <c r="A8" s="27" t="s">
        <v>53</v>
      </c>
      <c r="B8" s="70">
        <v>54</v>
      </c>
      <c r="C8" s="28" t="s">
        <v>30</v>
      </c>
      <c r="D8" s="28" t="s">
        <v>30</v>
      </c>
      <c r="E8" s="28" t="s">
        <v>30</v>
      </c>
      <c r="F8" s="28" t="s">
        <v>31</v>
      </c>
      <c r="G8" s="31" t="s">
        <v>32</v>
      </c>
      <c r="H8" s="33"/>
      <c r="I8" s="32" t="s">
        <v>33</v>
      </c>
      <c r="J8" s="28" t="s">
        <v>34</v>
      </c>
      <c r="K8" s="37" t="s">
        <v>35</v>
      </c>
      <c r="L8" s="28"/>
      <c r="M8" s="44" t="s">
        <v>41</v>
      </c>
      <c r="N8" s="72" t="s">
        <v>189</v>
      </c>
      <c r="O8" s="50" t="s">
        <v>37</v>
      </c>
      <c r="P8" s="28"/>
      <c r="Q8" s="34" t="s">
        <v>36</v>
      </c>
      <c r="R8" s="28" t="s">
        <v>34</v>
      </c>
      <c r="S8" s="42" t="s">
        <v>39</v>
      </c>
      <c r="T8" s="65" t="s">
        <v>185</v>
      </c>
      <c r="U8" s="47" t="s">
        <v>38</v>
      </c>
      <c r="V8" s="72" t="s">
        <v>185</v>
      </c>
      <c r="W8" s="46" t="s">
        <v>40</v>
      </c>
      <c r="X8" s="9"/>
      <c r="Y8" s="65" t="s">
        <v>168</v>
      </c>
      <c r="Z8" s="28" t="s">
        <v>34</v>
      </c>
      <c r="AA8" s="9" t="s">
        <v>42</v>
      </c>
      <c r="AB8" s="28" t="s">
        <v>54</v>
      </c>
      <c r="AC8" s="54"/>
    </row>
    <row r="9" spans="1:29" s="21" customFormat="1" ht="44.15" customHeight="1">
      <c r="A9" s="27" t="s">
        <v>55</v>
      </c>
      <c r="B9" s="70">
        <v>67</v>
      </c>
      <c r="C9" s="28" t="s">
        <v>30</v>
      </c>
      <c r="D9" s="28" t="s">
        <v>30</v>
      </c>
      <c r="E9" s="28" t="s">
        <v>30</v>
      </c>
      <c r="F9" s="28" t="s">
        <v>31</v>
      </c>
      <c r="G9" s="33"/>
      <c r="H9" s="31" t="s">
        <v>32</v>
      </c>
      <c r="I9" s="32" t="s">
        <v>33</v>
      </c>
      <c r="J9" s="28" t="s">
        <v>34</v>
      </c>
      <c r="K9" s="33"/>
      <c r="L9" s="37" t="s">
        <v>35</v>
      </c>
      <c r="M9" s="44" t="s">
        <v>41</v>
      </c>
      <c r="N9" s="73" t="s">
        <v>190</v>
      </c>
      <c r="O9" s="28"/>
      <c r="P9" s="50" t="s">
        <v>37</v>
      </c>
      <c r="Q9" s="34" t="s">
        <v>36</v>
      </c>
      <c r="R9" s="28" t="s">
        <v>34</v>
      </c>
      <c r="S9" s="45"/>
      <c r="T9" s="42" t="s">
        <v>39</v>
      </c>
      <c r="U9" s="47" t="s">
        <v>38</v>
      </c>
      <c r="V9" s="28" t="s">
        <v>34</v>
      </c>
      <c r="W9" s="28"/>
      <c r="X9" s="46" t="s">
        <v>40</v>
      </c>
      <c r="Y9" s="28"/>
      <c r="Z9" s="28" t="s">
        <v>34</v>
      </c>
      <c r="AA9" s="9" t="s">
        <v>42</v>
      </c>
      <c r="AB9" s="28" t="s">
        <v>52</v>
      </c>
      <c r="AC9" s="53"/>
    </row>
    <row r="10" spans="1:29" s="21" customFormat="1" ht="44.15" customHeight="1">
      <c r="A10" s="27" t="s">
        <v>56</v>
      </c>
      <c r="B10" s="70">
        <v>45</v>
      </c>
      <c r="C10" s="28" t="s">
        <v>30</v>
      </c>
      <c r="D10" s="28" t="s">
        <v>30</v>
      </c>
      <c r="E10" s="28" t="s">
        <v>30</v>
      </c>
      <c r="F10" s="28" t="s">
        <v>31</v>
      </c>
      <c r="G10" s="32" t="s">
        <v>33</v>
      </c>
      <c r="H10" s="31" t="s">
        <v>32</v>
      </c>
      <c r="I10" s="33"/>
      <c r="J10" s="28" t="s">
        <v>34</v>
      </c>
      <c r="K10" s="44" t="s">
        <v>41</v>
      </c>
      <c r="L10" s="37" t="s">
        <v>35</v>
      </c>
      <c r="M10" s="34" t="s">
        <v>49</v>
      </c>
      <c r="N10" s="28" t="s">
        <v>34</v>
      </c>
      <c r="O10" s="28"/>
      <c r="P10" s="50" t="s">
        <v>37</v>
      </c>
      <c r="Q10" s="47" t="s">
        <v>50</v>
      </c>
      <c r="R10" s="28" t="s">
        <v>34</v>
      </c>
      <c r="S10" s="45"/>
      <c r="T10" s="42" t="s">
        <v>39</v>
      </c>
      <c r="U10" s="67" t="s">
        <v>179</v>
      </c>
      <c r="V10" s="28" t="s">
        <v>34</v>
      </c>
      <c r="W10" s="28"/>
      <c r="X10" s="46" t="s">
        <v>40</v>
      </c>
      <c r="Y10" s="28"/>
      <c r="Z10" s="28" t="s">
        <v>34</v>
      </c>
      <c r="AA10" s="9" t="s">
        <v>42</v>
      </c>
      <c r="AB10" s="28" t="s">
        <v>57</v>
      </c>
      <c r="AC10" s="53"/>
    </row>
    <row r="11" spans="1:29" s="21" customFormat="1" ht="44.15" customHeight="1">
      <c r="A11" s="27" t="s">
        <v>58</v>
      </c>
      <c r="B11" s="70">
        <v>50</v>
      </c>
      <c r="C11" s="28" t="s">
        <v>30</v>
      </c>
      <c r="D11" s="28" t="s">
        <v>30</v>
      </c>
      <c r="E11" s="28" t="s">
        <v>30</v>
      </c>
      <c r="F11" s="28" t="s">
        <v>31</v>
      </c>
      <c r="G11" s="32" t="s">
        <v>33</v>
      </c>
      <c r="H11" s="31" t="s">
        <v>32</v>
      </c>
      <c r="I11" s="33"/>
      <c r="J11" s="28" t="s">
        <v>34</v>
      </c>
      <c r="K11" s="44" t="s">
        <v>41</v>
      </c>
      <c r="L11" s="37" t="s">
        <v>35</v>
      </c>
      <c r="M11" s="34" t="s">
        <v>49</v>
      </c>
      <c r="N11" s="28" t="s">
        <v>34</v>
      </c>
      <c r="O11" s="28"/>
      <c r="P11" s="50" t="s">
        <v>37</v>
      </c>
      <c r="Q11" s="47" t="s">
        <v>50</v>
      </c>
      <c r="R11" s="28" t="s">
        <v>34</v>
      </c>
      <c r="S11" s="45"/>
      <c r="T11" s="42" t="s">
        <v>39</v>
      </c>
      <c r="U11" s="67" t="s">
        <v>179</v>
      </c>
      <c r="V11" s="28" t="s">
        <v>34</v>
      </c>
      <c r="W11" s="9"/>
      <c r="X11" s="46" t="s">
        <v>40</v>
      </c>
      <c r="Y11" s="28"/>
      <c r="Z11" s="28" t="s">
        <v>34</v>
      </c>
      <c r="AA11" s="9" t="s">
        <v>42</v>
      </c>
      <c r="AB11" s="28" t="s">
        <v>59</v>
      </c>
      <c r="AC11" s="53"/>
    </row>
    <row r="12" spans="1:29" s="21" customFormat="1" ht="44.15" customHeight="1">
      <c r="A12" s="27" t="s">
        <v>60</v>
      </c>
      <c r="B12" s="70">
        <v>45</v>
      </c>
      <c r="C12" s="28" t="s">
        <v>30</v>
      </c>
      <c r="D12" s="28" t="s">
        <v>30</v>
      </c>
      <c r="E12" s="28" t="s">
        <v>30</v>
      </c>
      <c r="F12" s="28" t="s">
        <v>31</v>
      </c>
      <c r="G12" s="33"/>
      <c r="H12" s="31" t="s">
        <v>32</v>
      </c>
      <c r="I12" s="33"/>
      <c r="J12" s="28" t="s">
        <v>34</v>
      </c>
      <c r="K12" s="34" t="s">
        <v>49</v>
      </c>
      <c r="L12" s="37" t="s">
        <v>35</v>
      </c>
      <c r="M12" s="32" t="s">
        <v>61</v>
      </c>
      <c r="N12" s="28" t="s">
        <v>34</v>
      </c>
      <c r="O12" s="47" t="s">
        <v>38</v>
      </c>
      <c r="P12" s="50" t="s">
        <v>37</v>
      </c>
      <c r="Q12" s="67" t="s">
        <v>192</v>
      </c>
      <c r="R12" s="28" t="s">
        <v>34</v>
      </c>
      <c r="S12" s="45"/>
      <c r="T12" s="42" t="s">
        <v>39</v>
      </c>
      <c r="U12" s="28"/>
      <c r="V12" s="28" t="s">
        <v>34</v>
      </c>
      <c r="W12" s="44" t="s">
        <v>41</v>
      </c>
      <c r="X12" s="46" t="s">
        <v>40</v>
      </c>
      <c r="Y12" s="28"/>
      <c r="Z12" s="28" t="s">
        <v>34</v>
      </c>
      <c r="AA12" s="9" t="s">
        <v>42</v>
      </c>
      <c r="AB12" s="28" t="s">
        <v>59</v>
      </c>
      <c r="AC12" s="7"/>
    </row>
    <row r="13" spans="1:29" s="21" customFormat="1" ht="44.15" customHeight="1">
      <c r="A13" s="27" t="s">
        <v>62</v>
      </c>
      <c r="B13" s="70">
        <v>41</v>
      </c>
      <c r="C13" s="28" t="s">
        <v>30</v>
      </c>
      <c r="D13" s="28" t="s">
        <v>30</v>
      </c>
      <c r="E13" s="28" t="s">
        <v>30</v>
      </c>
      <c r="F13" s="28" t="s">
        <v>31</v>
      </c>
      <c r="G13" s="33"/>
      <c r="H13" s="31" t="s">
        <v>32</v>
      </c>
      <c r="I13" s="33"/>
      <c r="J13" s="28" t="s">
        <v>34</v>
      </c>
      <c r="K13" s="34" t="s">
        <v>49</v>
      </c>
      <c r="L13" s="37" t="s">
        <v>35</v>
      </c>
      <c r="M13" s="32" t="s">
        <v>61</v>
      </c>
      <c r="N13" s="28" t="s">
        <v>34</v>
      </c>
      <c r="O13" s="47" t="s">
        <v>38</v>
      </c>
      <c r="P13" s="50" t="s">
        <v>37</v>
      </c>
      <c r="Q13" s="67" t="s">
        <v>192</v>
      </c>
      <c r="R13" s="28" t="s">
        <v>34</v>
      </c>
      <c r="S13" s="45"/>
      <c r="T13" s="42" t="s">
        <v>39</v>
      </c>
      <c r="U13" s="33"/>
      <c r="V13" s="28" t="s">
        <v>34</v>
      </c>
      <c r="W13" s="44" t="s">
        <v>41</v>
      </c>
      <c r="X13" s="46" t="s">
        <v>40</v>
      </c>
      <c r="Y13" s="28"/>
      <c r="Z13" s="28" t="s">
        <v>34</v>
      </c>
      <c r="AA13" s="9" t="s">
        <v>42</v>
      </c>
      <c r="AB13" s="28" t="s">
        <v>63</v>
      </c>
      <c r="AC13" s="7"/>
    </row>
    <row r="14" spans="1:29" s="21" customFormat="1" ht="44.15" customHeight="1">
      <c r="A14" s="27" t="s">
        <v>64</v>
      </c>
      <c r="B14" s="70">
        <v>52</v>
      </c>
      <c r="C14" s="28" t="s">
        <v>30</v>
      </c>
      <c r="D14" s="28" t="s">
        <v>30</v>
      </c>
      <c r="E14" s="28" t="s">
        <v>30</v>
      </c>
      <c r="F14" s="28" t="s">
        <v>31</v>
      </c>
      <c r="G14" s="28"/>
      <c r="H14" s="28"/>
      <c r="I14" s="31" t="s">
        <v>32</v>
      </c>
      <c r="J14" s="28" t="s">
        <v>34</v>
      </c>
      <c r="K14" s="32" t="s">
        <v>61</v>
      </c>
      <c r="L14" s="44" t="s">
        <v>65</v>
      </c>
      <c r="M14" s="37" t="s">
        <v>35</v>
      </c>
      <c r="N14" s="28" t="s">
        <v>34</v>
      </c>
      <c r="O14" s="34" t="s">
        <v>49</v>
      </c>
      <c r="P14" s="67" t="s">
        <v>179</v>
      </c>
      <c r="Q14" s="50" t="s">
        <v>37</v>
      </c>
      <c r="R14" s="28" t="s">
        <v>34</v>
      </c>
      <c r="S14" s="47" t="s">
        <v>38</v>
      </c>
      <c r="T14" s="33"/>
      <c r="U14" s="42" t="s">
        <v>39</v>
      </c>
      <c r="V14" s="28" t="s">
        <v>34</v>
      </c>
      <c r="W14" s="9"/>
      <c r="X14" s="28"/>
      <c r="Y14" s="46" t="s">
        <v>40</v>
      </c>
      <c r="Z14" s="28" t="s">
        <v>34</v>
      </c>
      <c r="AA14" s="9" t="s">
        <v>42</v>
      </c>
      <c r="AB14" s="28" t="s">
        <v>66</v>
      </c>
      <c r="AC14" s="7"/>
    </row>
    <row r="15" spans="1:29" s="22" customFormat="1" ht="44.15" customHeight="1">
      <c r="A15" s="27" t="s">
        <v>67</v>
      </c>
      <c r="B15" s="70">
        <v>51</v>
      </c>
      <c r="C15" s="28" t="s">
        <v>30</v>
      </c>
      <c r="D15" s="28" t="s">
        <v>30</v>
      </c>
      <c r="E15" s="28" t="s">
        <v>30</v>
      </c>
      <c r="F15" s="28" t="s">
        <v>31</v>
      </c>
      <c r="G15" s="28"/>
      <c r="H15" s="28"/>
      <c r="I15" s="31" t="s">
        <v>32</v>
      </c>
      <c r="J15" s="28" t="s">
        <v>34</v>
      </c>
      <c r="K15" s="32" t="s">
        <v>61</v>
      </c>
      <c r="L15" s="44" t="s">
        <v>65</v>
      </c>
      <c r="M15" s="37" t="s">
        <v>35</v>
      </c>
      <c r="N15" s="28" t="s">
        <v>34</v>
      </c>
      <c r="O15" s="34" t="s">
        <v>49</v>
      </c>
      <c r="P15" s="67" t="s">
        <v>179</v>
      </c>
      <c r="Q15" s="50" t="s">
        <v>37</v>
      </c>
      <c r="R15" s="28" t="s">
        <v>34</v>
      </c>
      <c r="S15" s="47" t="s">
        <v>38</v>
      </c>
      <c r="T15" s="33"/>
      <c r="U15" s="42" t="s">
        <v>39</v>
      </c>
      <c r="V15" s="28" t="s">
        <v>34</v>
      </c>
      <c r="W15" s="9"/>
      <c r="X15" s="28"/>
      <c r="Y15" s="46" t="s">
        <v>40</v>
      </c>
      <c r="Z15" s="28" t="s">
        <v>34</v>
      </c>
      <c r="AA15" s="9" t="s">
        <v>42</v>
      </c>
      <c r="AB15" s="28" t="s">
        <v>68</v>
      </c>
      <c r="AC15" s="7"/>
    </row>
    <row r="16" spans="1:29" ht="44.15" customHeight="1">
      <c r="A16" s="27" t="s">
        <v>69</v>
      </c>
      <c r="B16" s="70">
        <v>53</v>
      </c>
      <c r="C16" s="28" t="s">
        <v>30</v>
      </c>
      <c r="D16" s="28" t="s">
        <v>30</v>
      </c>
      <c r="E16" s="28" t="s">
        <v>30</v>
      </c>
      <c r="F16" s="28" t="s">
        <v>31</v>
      </c>
      <c r="G16" s="34" t="s">
        <v>49</v>
      </c>
      <c r="H16" s="28"/>
      <c r="I16" s="31" t="s">
        <v>32</v>
      </c>
      <c r="J16" s="28" t="s">
        <v>34</v>
      </c>
      <c r="K16" s="33"/>
      <c r="L16" s="33"/>
      <c r="M16" s="37" t="s">
        <v>35</v>
      </c>
      <c r="N16" s="28" t="s">
        <v>34</v>
      </c>
      <c r="O16" s="28"/>
      <c r="P16" s="28"/>
      <c r="Q16" s="50" t="s">
        <v>37</v>
      </c>
      <c r="R16" s="28" t="s">
        <v>34</v>
      </c>
      <c r="S16" s="32" t="s">
        <v>48</v>
      </c>
      <c r="T16" s="69" t="s">
        <v>186</v>
      </c>
      <c r="U16" s="42" t="s">
        <v>39</v>
      </c>
      <c r="V16" s="28" t="s">
        <v>34</v>
      </c>
      <c r="W16" s="68" t="s">
        <v>192</v>
      </c>
      <c r="X16" s="47" t="s">
        <v>50</v>
      </c>
      <c r="Y16" s="46" t="s">
        <v>40</v>
      </c>
      <c r="Z16" s="28" t="s">
        <v>34</v>
      </c>
      <c r="AA16" s="9" t="s">
        <v>42</v>
      </c>
      <c r="AB16" s="28" t="s">
        <v>68</v>
      </c>
      <c r="AC16" s="55"/>
    </row>
    <row r="17" spans="1:29" ht="44.15" customHeight="1">
      <c r="A17" s="27" t="s">
        <v>70</v>
      </c>
      <c r="B17" s="70">
        <v>52</v>
      </c>
      <c r="C17" s="28" t="s">
        <v>30</v>
      </c>
      <c r="D17" s="28" t="s">
        <v>30</v>
      </c>
      <c r="E17" s="28" t="s">
        <v>30</v>
      </c>
      <c r="F17" s="28" t="s">
        <v>31</v>
      </c>
      <c r="G17" s="34" t="s">
        <v>49</v>
      </c>
      <c r="H17" s="28"/>
      <c r="I17" s="31" t="s">
        <v>32</v>
      </c>
      <c r="J17" s="28" t="s">
        <v>34</v>
      </c>
      <c r="K17" s="45"/>
      <c r="L17" s="45"/>
      <c r="M17" s="37" t="s">
        <v>35</v>
      </c>
      <c r="N17" s="28" t="s">
        <v>34</v>
      </c>
      <c r="O17" s="28"/>
      <c r="P17" s="28"/>
      <c r="Q17" s="50" t="s">
        <v>37</v>
      </c>
      <c r="R17" s="28" t="s">
        <v>34</v>
      </c>
      <c r="S17" s="32" t="s">
        <v>48</v>
      </c>
      <c r="T17" s="69" t="s">
        <v>186</v>
      </c>
      <c r="U17" s="42" t="s">
        <v>39</v>
      </c>
      <c r="V17" s="28" t="s">
        <v>34</v>
      </c>
      <c r="W17" s="68" t="s">
        <v>192</v>
      </c>
      <c r="X17" s="47" t="s">
        <v>50</v>
      </c>
      <c r="Y17" s="46" t="s">
        <v>40</v>
      </c>
      <c r="Z17" s="28" t="s">
        <v>34</v>
      </c>
      <c r="AA17" s="9" t="s">
        <v>42</v>
      </c>
      <c r="AB17" s="28" t="s">
        <v>71</v>
      </c>
      <c r="AC17" s="54"/>
    </row>
    <row r="18" spans="1:29" ht="44.15" customHeight="1">
      <c r="A18" s="27" t="s">
        <v>72</v>
      </c>
      <c r="B18" s="70">
        <v>46</v>
      </c>
      <c r="C18" s="28" t="s">
        <v>30</v>
      </c>
      <c r="D18" s="28" t="s">
        <v>30</v>
      </c>
      <c r="E18" s="28" t="s">
        <v>30</v>
      </c>
      <c r="F18" s="28" t="s">
        <v>31</v>
      </c>
      <c r="G18" s="35"/>
      <c r="H18" s="34" t="s">
        <v>73</v>
      </c>
      <c r="I18" s="31" t="s">
        <v>32</v>
      </c>
      <c r="J18" s="28" t="s">
        <v>34</v>
      </c>
      <c r="K18" s="33"/>
      <c r="L18" s="45"/>
      <c r="M18" s="37" t="s">
        <v>35</v>
      </c>
      <c r="N18" s="28" t="s">
        <v>34</v>
      </c>
      <c r="O18" s="28"/>
      <c r="P18" s="28"/>
      <c r="Q18" s="50" t="s">
        <v>37</v>
      </c>
      <c r="R18" s="28" t="s">
        <v>34</v>
      </c>
      <c r="S18" s="44" t="s">
        <v>74</v>
      </c>
      <c r="T18" s="32" t="s">
        <v>75</v>
      </c>
      <c r="U18" s="42" t="s">
        <v>39</v>
      </c>
      <c r="V18" s="28" t="s">
        <v>34</v>
      </c>
      <c r="W18" s="47" t="s">
        <v>76</v>
      </c>
      <c r="X18" s="68" t="s">
        <v>192</v>
      </c>
      <c r="Y18" s="46" t="s">
        <v>40</v>
      </c>
      <c r="Z18" s="28" t="s">
        <v>34</v>
      </c>
      <c r="AA18" s="9" t="s">
        <v>42</v>
      </c>
      <c r="AB18" s="28" t="s">
        <v>77</v>
      </c>
      <c r="AC18" s="54"/>
    </row>
    <row r="19" spans="1:29" ht="44.15" customHeight="1">
      <c r="A19" s="27" t="s">
        <v>78</v>
      </c>
      <c r="B19" s="70">
        <v>34</v>
      </c>
      <c r="C19" s="28" t="s">
        <v>30</v>
      </c>
      <c r="D19" s="28" t="s">
        <v>30</v>
      </c>
      <c r="E19" s="28" t="s">
        <v>30</v>
      </c>
      <c r="F19" s="36" t="s">
        <v>31</v>
      </c>
      <c r="G19" s="37" t="s">
        <v>79</v>
      </c>
      <c r="H19" s="38" t="s">
        <v>80</v>
      </c>
      <c r="I19" s="45"/>
      <c r="J19" s="28" t="s">
        <v>34</v>
      </c>
      <c r="K19" s="46" t="s">
        <v>81</v>
      </c>
      <c r="L19" s="45"/>
      <c r="M19" s="47" t="s">
        <v>82</v>
      </c>
      <c r="N19" s="28" t="s">
        <v>34</v>
      </c>
      <c r="O19" s="32" t="s">
        <v>61</v>
      </c>
      <c r="P19" s="44" t="s">
        <v>65</v>
      </c>
      <c r="Q19" s="28"/>
      <c r="R19" s="28" t="s">
        <v>34</v>
      </c>
      <c r="S19" s="45"/>
      <c r="T19" s="50" t="s">
        <v>83</v>
      </c>
      <c r="U19" s="45"/>
      <c r="V19" s="28" t="s">
        <v>34</v>
      </c>
      <c r="W19" s="31" t="s">
        <v>84</v>
      </c>
      <c r="X19" s="68" t="s">
        <v>192</v>
      </c>
      <c r="Y19" s="34" t="s">
        <v>85</v>
      </c>
      <c r="Z19" s="28" t="s">
        <v>34</v>
      </c>
      <c r="AA19" s="9" t="s">
        <v>42</v>
      </c>
      <c r="AB19" s="28" t="s">
        <v>206</v>
      </c>
      <c r="AC19" s="54"/>
    </row>
    <row r="20" spans="1:29" ht="44.15" customHeight="1">
      <c r="A20" s="27" t="s">
        <v>86</v>
      </c>
      <c r="B20" s="70">
        <v>54</v>
      </c>
      <c r="C20" s="28" t="s">
        <v>30</v>
      </c>
      <c r="D20" s="28" t="s">
        <v>30</v>
      </c>
      <c r="E20" s="28" t="s">
        <v>30</v>
      </c>
      <c r="F20" s="36" t="s">
        <v>31</v>
      </c>
      <c r="G20" s="37" t="s">
        <v>79</v>
      </c>
      <c r="H20" s="38" t="s">
        <v>80</v>
      </c>
      <c r="I20" s="45"/>
      <c r="J20" s="71" t="s">
        <v>199</v>
      </c>
      <c r="K20" s="46" t="s">
        <v>81</v>
      </c>
      <c r="L20" s="45"/>
      <c r="M20" s="47" t="s">
        <v>82</v>
      </c>
      <c r="N20" s="28" t="s">
        <v>34</v>
      </c>
      <c r="O20" s="32" t="s">
        <v>61</v>
      </c>
      <c r="P20" s="44" t="s">
        <v>65</v>
      </c>
      <c r="Q20" s="28"/>
      <c r="R20" s="71" t="s">
        <v>199</v>
      </c>
      <c r="S20" s="45"/>
      <c r="T20" s="50" t="s">
        <v>83</v>
      </c>
      <c r="U20" s="65"/>
      <c r="V20" s="28" t="s">
        <v>34</v>
      </c>
      <c r="W20" s="31" t="s">
        <v>84</v>
      </c>
      <c r="X20" s="45"/>
      <c r="Y20" s="34" t="s">
        <v>85</v>
      </c>
      <c r="Z20" s="28" t="s">
        <v>34</v>
      </c>
      <c r="AA20" s="9" t="s">
        <v>42</v>
      </c>
      <c r="AB20" s="28" t="s">
        <v>87</v>
      </c>
      <c r="AC20" s="54"/>
    </row>
    <row r="21" spans="1:29" ht="44.15" customHeight="1">
      <c r="A21" s="27" t="s">
        <v>88</v>
      </c>
      <c r="B21" s="70">
        <v>33</v>
      </c>
      <c r="C21" s="28" t="s">
        <v>30</v>
      </c>
      <c r="D21" s="28" t="s">
        <v>30</v>
      </c>
      <c r="E21" s="28" t="s">
        <v>30</v>
      </c>
      <c r="F21" s="36" t="s">
        <v>31</v>
      </c>
      <c r="G21" s="37" t="s">
        <v>79</v>
      </c>
      <c r="H21" s="39" t="s">
        <v>80</v>
      </c>
      <c r="I21" s="45"/>
      <c r="J21" s="71" t="s">
        <v>199</v>
      </c>
      <c r="K21" s="46" t="s">
        <v>81</v>
      </c>
      <c r="L21" s="45"/>
      <c r="M21" s="47" t="s">
        <v>82</v>
      </c>
      <c r="N21" s="28" t="s">
        <v>34</v>
      </c>
      <c r="O21" s="32" t="s">
        <v>61</v>
      </c>
      <c r="P21" s="44" t="s">
        <v>65</v>
      </c>
      <c r="Q21" s="28"/>
      <c r="R21" s="71" t="s">
        <v>199</v>
      </c>
      <c r="S21" s="45"/>
      <c r="T21" s="50" t="s">
        <v>83</v>
      </c>
      <c r="U21" s="43"/>
      <c r="V21" s="28" t="s">
        <v>34</v>
      </c>
      <c r="W21" s="31" t="s">
        <v>84</v>
      </c>
      <c r="X21" s="45"/>
      <c r="Y21" s="34" t="s">
        <v>85</v>
      </c>
      <c r="Z21" s="28" t="s">
        <v>34</v>
      </c>
      <c r="AA21" s="9" t="s">
        <v>42</v>
      </c>
      <c r="AB21" s="28" t="s">
        <v>89</v>
      </c>
      <c r="AC21" s="54"/>
    </row>
    <row r="22" spans="1:29" ht="44.15" customHeight="1">
      <c r="A22" s="27" t="s">
        <v>90</v>
      </c>
      <c r="B22" s="70">
        <v>54</v>
      </c>
      <c r="C22" s="28" t="s">
        <v>30</v>
      </c>
      <c r="D22" s="28" t="s">
        <v>30</v>
      </c>
      <c r="E22" s="28" t="s">
        <v>30</v>
      </c>
      <c r="F22" s="28" t="s">
        <v>31</v>
      </c>
      <c r="G22" s="40"/>
      <c r="H22" s="37" t="s">
        <v>91</v>
      </c>
      <c r="I22" s="38" t="s">
        <v>92</v>
      </c>
      <c r="J22" s="71" t="s">
        <v>199</v>
      </c>
      <c r="K22" s="47" t="s">
        <v>93</v>
      </c>
      <c r="L22" s="46" t="s">
        <v>81</v>
      </c>
      <c r="M22" s="45"/>
      <c r="N22" s="28" t="s">
        <v>34</v>
      </c>
      <c r="O22" s="45"/>
      <c r="P22" s="32" t="s">
        <v>94</v>
      </c>
      <c r="Q22" s="44" t="s">
        <v>65</v>
      </c>
      <c r="R22" s="71" t="s">
        <v>199</v>
      </c>
      <c r="S22" s="50" t="s">
        <v>95</v>
      </c>
      <c r="T22" s="45"/>
      <c r="U22" s="65"/>
      <c r="V22" s="28" t="s">
        <v>34</v>
      </c>
      <c r="W22" s="34" t="s">
        <v>85</v>
      </c>
      <c r="X22" s="31" t="s">
        <v>96</v>
      </c>
      <c r="Y22" s="45"/>
      <c r="Z22" s="28" t="s">
        <v>34</v>
      </c>
      <c r="AA22" s="9" t="s">
        <v>42</v>
      </c>
      <c r="AB22" s="28" t="s">
        <v>97</v>
      </c>
      <c r="AC22" s="54"/>
    </row>
    <row r="23" spans="1:29" ht="44.15" customHeight="1">
      <c r="A23" s="27" t="s">
        <v>98</v>
      </c>
      <c r="B23" s="70">
        <v>54</v>
      </c>
      <c r="C23" s="28" t="s">
        <v>30</v>
      </c>
      <c r="D23" s="28" t="s">
        <v>30</v>
      </c>
      <c r="E23" s="28" t="s">
        <v>30</v>
      </c>
      <c r="F23" s="28" t="s">
        <v>31</v>
      </c>
      <c r="G23" s="41"/>
      <c r="H23" s="37" t="s">
        <v>91</v>
      </c>
      <c r="I23" s="39" t="s">
        <v>92</v>
      </c>
      <c r="J23" s="28" t="s">
        <v>34</v>
      </c>
      <c r="K23" s="47" t="s">
        <v>93</v>
      </c>
      <c r="L23" s="46" t="s">
        <v>81</v>
      </c>
      <c r="M23" s="45"/>
      <c r="N23" s="72" t="s">
        <v>189</v>
      </c>
      <c r="O23" s="45"/>
      <c r="P23" s="32" t="s">
        <v>94</v>
      </c>
      <c r="Q23" s="44" t="s">
        <v>65</v>
      </c>
      <c r="R23" s="28" t="s">
        <v>34</v>
      </c>
      <c r="S23" s="50" t="s">
        <v>95</v>
      </c>
      <c r="T23" s="65" t="s">
        <v>185</v>
      </c>
      <c r="U23" s="45"/>
      <c r="V23" s="72" t="s">
        <v>185</v>
      </c>
      <c r="W23" s="34" t="s">
        <v>85</v>
      </c>
      <c r="X23" s="31" t="s">
        <v>96</v>
      </c>
      <c r="Y23" s="65" t="s">
        <v>197</v>
      </c>
      <c r="Z23" s="28" t="s">
        <v>34</v>
      </c>
      <c r="AA23" s="9" t="s">
        <v>42</v>
      </c>
      <c r="AB23" s="28" t="s">
        <v>54</v>
      </c>
      <c r="AC23" s="54"/>
    </row>
    <row r="24" spans="1:29" ht="44.15" customHeight="1">
      <c r="A24" s="27" t="s">
        <v>99</v>
      </c>
      <c r="B24" s="70">
        <v>54</v>
      </c>
      <c r="C24" s="28" t="s">
        <v>30</v>
      </c>
      <c r="D24" s="28" t="s">
        <v>30</v>
      </c>
      <c r="E24" s="28" t="s">
        <v>30</v>
      </c>
      <c r="F24" s="28" t="s">
        <v>31</v>
      </c>
      <c r="G24" s="42" t="s">
        <v>100</v>
      </c>
      <c r="H24" s="65" t="s">
        <v>168</v>
      </c>
      <c r="I24" s="37" t="s">
        <v>79</v>
      </c>
      <c r="J24" s="48" t="s">
        <v>34</v>
      </c>
      <c r="K24" s="65" t="s">
        <v>172</v>
      </c>
      <c r="L24" s="47" t="s">
        <v>101</v>
      </c>
      <c r="M24" s="68" t="s">
        <v>188</v>
      </c>
      <c r="N24" s="28" t="s">
        <v>34</v>
      </c>
      <c r="O24" s="44" t="s">
        <v>102</v>
      </c>
      <c r="P24" s="65" t="s">
        <v>180</v>
      </c>
      <c r="Q24" s="32" t="s">
        <v>103</v>
      </c>
      <c r="R24" s="28" t="s">
        <v>34</v>
      </c>
      <c r="S24" s="45"/>
      <c r="T24" s="45"/>
      <c r="U24" s="50" t="s">
        <v>104</v>
      </c>
      <c r="V24" s="28" t="s">
        <v>34</v>
      </c>
      <c r="W24" s="65" t="s">
        <v>172</v>
      </c>
      <c r="X24" s="34" t="s">
        <v>105</v>
      </c>
      <c r="Y24" s="31" t="s">
        <v>106</v>
      </c>
      <c r="Z24" s="28" t="s">
        <v>34</v>
      </c>
      <c r="AA24" s="9" t="s">
        <v>42</v>
      </c>
      <c r="AB24" s="28" t="s">
        <v>89</v>
      </c>
      <c r="AC24" s="54"/>
    </row>
    <row r="25" spans="1:29" ht="44.15" customHeight="1">
      <c r="A25" s="27" t="s">
        <v>107</v>
      </c>
      <c r="B25" s="70">
        <v>50</v>
      </c>
      <c r="C25" s="28" t="s">
        <v>30</v>
      </c>
      <c r="D25" s="28" t="s">
        <v>30</v>
      </c>
      <c r="E25" s="28" t="s">
        <v>30</v>
      </c>
      <c r="F25" s="28" t="s">
        <v>31</v>
      </c>
      <c r="G25" s="42" t="s">
        <v>100</v>
      </c>
      <c r="H25" s="65" t="s">
        <v>168</v>
      </c>
      <c r="I25" s="37" t="s">
        <v>79</v>
      </c>
      <c r="J25" s="48" t="s">
        <v>34</v>
      </c>
      <c r="K25" s="65" t="s">
        <v>173</v>
      </c>
      <c r="L25" s="47" t="s">
        <v>101</v>
      </c>
      <c r="M25" s="68" t="s">
        <v>188</v>
      </c>
      <c r="N25" s="28" t="s">
        <v>34</v>
      </c>
      <c r="O25" s="44" t="s">
        <v>102</v>
      </c>
      <c r="P25" s="65" t="s">
        <v>180</v>
      </c>
      <c r="Q25" s="32" t="s">
        <v>103</v>
      </c>
      <c r="R25" s="28" t="s">
        <v>34</v>
      </c>
      <c r="S25" s="45"/>
      <c r="T25" s="45"/>
      <c r="U25" s="50" t="s">
        <v>104</v>
      </c>
      <c r="V25" s="28" t="s">
        <v>34</v>
      </c>
      <c r="W25" s="65" t="s">
        <v>173</v>
      </c>
      <c r="X25" s="34" t="s">
        <v>105</v>
      </c>
      <c r="Y25" s="31" t="s">
        <v>106</v>
      </c>
      <c r="Z25" s="28" t="s">
        <v>34</v>
      </c>
      <c r="AA25" s="9" t="s">
        <v>42</v>
      </c>
      <c r="AB25" s="28" t="s">
        <v>89</v>
      </c>
      <c r="AC25" s="54"/>
    </row>
    <row r="26" spans="1:29" ht="115.5" customHeight="1">
      <c r="A26" s="61" t="s">
        <v>207</v>
      </c>
      <c r="B26" s="62"/>
      <c r="C26" s="63" t="s">
        <v>163</v>
      </c>
      <c r="D26" s="63" t="s">
        <v>164</v>
      </c>
      <c r="E26" s="63" t="s">
        <v>165</v>
      </c>
      <c r="F26" s="63" t="s">
        <v>161</v>
      </c>
      <c r="G26" s="66" t="s">
        <v>170</v>
      </c>
      <c r="H26" s="66" t="s">
        <v>171</v>
      </c>
      <c r="I26" s="64"/>
      <c r="J26" s="66" t="s">
        <v>193</v>
      </c>
      <c r="K26" s="66" t="s">
        <v>174</v>
      </c>
      <c r="L26" s="66" t="s">
        <v>175</v>
      </c>
      <c r="M26" s="66" t="s">
        <v>176</v>
      </c>
      <c r="N26" s="66" t="s">
        <v>177</v>
      </c>
      <c r="O26" s="66" t="s">
        <v>178</v>
      </c>
      <c r="P26" s="66" t="s">
        <v>181</v>
      </c>
      <c r="Q26" s="66" t="s">
        <v>184</v>
      </c>
      <c r="R26" s="66" t="s">
        <v>193</v>
      </c>
      <c r="S26" s="63" t="s">
        <v>162</v>
      </c>
      <c r="T26" s="66" t="s">
        <v>187</v>
      </c>
      <c r="U26" s="66" t="s">
        <v>194</v>
      </c>
      <c r="V26" s="63" t="s">
        <v>161</v>
      </c>
      <c r="W26" s="66" t="s">
        <v>195</v>
      </c>
      <c r="X26" s="66" t="s">
        <v>196</v>
      </c>
      <c r="Y26" s="66" t="s">
        <v>198</v>
      </c>
      <c r="Z26" s="63" t="s">
        <v>161</v>
      </c>
      <c r="AA26" s="63" t="s">
        <v>166</v>
      </c>
      <c r="AB26" s="63" t="s">
        <v>167</v>
      </c>
    </row>
    <row r="27" spans="1:29" ht="210">
      <c r="A27" s="29" t="s">
        <v>108</v>
      </c>
      <c r="C27" s="30">
        <v>45206</v>
      </c>
      <c r="D27" s="30">
        <v>45206</v>
      </c>
      <c r="E27" s="30">
        <v>45206</v>
      </c>
      <c r="F27" s="30">
        <v>45206</v>
      </c>
      <c r="G27" s="30">
        <v>45207</v>
      </c>
      <c r="H27" s="30">
        <v>45207</v>
      </c>
      <c r="I27" s="30">
        <v>45207</v>
      </c>
      <c r="J27" s="49">
        <v>45207</v>
      </c>
      <c r="K27" s="30">
        <v>45208</v>
      </c>
      <c r="L27" s="30">
        <v>45208</v>
      </c>
      <c r="M27" s="30">
        <v>45208</v>
      </c>
      <c r="N27" s="49">
        <v>45208</v>
      </c>
      <c r="O27" s="30">
        <v>45209</v>
      </c>
      <c r="P27" s="30">
        <v>45209</v>
      </c>
      <c r="Q27" s="30">
        <v>45209</v>
      </c>
      <c r="R27" s="49">
        <v>45209</v>
      </c>
      <c r="S27" s="30">
        <v>45210</v>
      </c>
      <c r="T27" s="30">
        <v>45210</v>
      </c>
      <c r="U27" s="30">
        <v>45210</v>
      </c>
      <c r="V27" s="49">
        <v>45210</v>
      </c>
      <c r="W27" s="30">
        <v>45211</v>
      </c>
      <c r="X27" s="30">
        <v>45211</v>
      </c>
      <c r="Y27" s="30">
        <v>45211</v>
      </c>
      <c r="Z27" s="49">
        <v>45211</v>
      </c>
      <c r="AA27" s="51">
        <v>45212</v>
      </c>
      <c r="AB27" s="51">
        <v>45212</v>
      </c>
    </row>
  </sheetData>
  <mergeCells count="1">
    <mergeCell ref="A1:AC1"/>
  </mergeCells>
  <phoneticPr fontId="43" type="noConversion"/>
  <conditionalFormatting sqref="AB1:AB20">
    <cfRule type="containsText" dxfId="1" priority="1" operator="containsText" text="报告厅">
      <formula>NOT(ISERROR(SEARCH("报告厅",AB1)))</formula>
    </cfRule>
  </conditionalFormatting>
  <conditionalFormatting sqref="AB28:AB1048576">
    <cfRule type="containsText" dxfId="0" priority="3" operator="containsText" text="报告厅">
      <formula>NOT(ISERROR(SEARCH("报告厅",AB28)))</formula>
    </cfRule>
  </conditionalFormatting>
  <pageMargins left="0.23611111111111099" right="0.118055555555556" top="0.23611111111111099" bottom="0.118055555555556" header="0.31458333333333299" footer="0.31458333333333299"/>
  <pageSetup paperSize="8" scale="1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Zeros="0" workbookViewId="0">
      <selection activeCell="B2" sqref="B2:C2"/>
    </sheetView>
  </sheetViews>
  <sheetFormatPr defaultColWidth="8.8984375" defaultRowHeight="13"/>
  <cols>
    <col min="1" max="1" width="15.296875" style="1" customWidth="1" collapsed="1"/>
    <col min="2" max="3" width="20.8984375" style="1" customWidth="1" collapsed="1"/>
    <col min="4" max="4" width="22.09765625" style="1" customWidth="1" collapsed="1"/>
    <col min="5" max="5" width="20.8984375" style="1" customWidth="1" collapsed="1"/>
    <col min="6" max="16384" width="8.8984375" style="1"/>
  </cols>
  <sheetData>
    <row r="1" spans="1:5" ht="57.9" customHeight="1">
      <c r="A1" s="79" t="s">
        <v>109</v>
      </c>
      <c r="B1" s="80"/>
      <c r="C1" s="80"/>
      <c r="D1" s="80"/>
      <c r="E1" s="80"/>
    </row>
    <row r="2" spans="1:5" ht="34.65" customHeight="1">
      <c r="A2" s="16" t="s">
        <v>110</v>
      </c>
      <c r="B2" s="81" t="s">
        <v>78</v>
      </c>
      <c r="C2" s="81"/>
      <c r="D2" s="17" t="s">
        <v>111</v>
      </c>
      <c r="E2" s="19" t="str">
        <f>VLOOKUP($B$2,班会教室!A:B,2,0)</f>
        <v>映荷楼202</v>
      </c>
    </row>
    <row r="3" spans="1:5" ht="21.65" customHeight="1">
      <c r="A3" s="16" t="s">
        <v>112</v>
      </c>
      <c r="B3" s="16" t="s">
        <v>113</v>
      </c>
      <c r="C3" s="16" t="s">
        <v>114</v>
      </c>
      <c r="D3" s="16" t="s">
        <v>115</v>
      </c>
      <c r="E3" s="16" t="s">
        <v>116</v>
      </c>
    </row>
    <row r="4" spans="1:5" ht="60" customHeight="1">
      <c r="A4" s="16" t="s">
        <v>117</v>
      </c>
      <c r="B4" s="18" t="str">
        <f>VLOOKUP($B$2,总课表!$A$3:$AC$25,3,0)</f>
        <v>教材发放
劳动教育
-班主任</v>
      </c>
      <c r="C4" s="18" t="str">
        <f>VLOOKUP($B$2,总课表!$A$3:$AC$25,4,0)</f>
        <v>教材发放
劳动教育
-班主任</v>
      </c>
      <c r="D4" s="18" t="str">
        <f>VLOOKUP($B$2,总课表!$A$3:$AC$25,5,0)</f>
        <v>教材发放
劳动教育
-班主任</v>
      </c>
      <c r="E4" s="18" t="str">
        <f>VLOOKUP($B$2,总课表!$A$3:$AC$25,6,0)</f>
        <v>班级事务
-班主任安排
班会教室</v>
      </c>
    </row>
    <row r="5" spans="1:5" ht="60" customHeight="1">
      <c r="A5" s="16" t="s">
        <v>118</v>
      </c>
      <c r="B5" s="18" t="str">
        <f>VLOOKUP($B$2,总课表!$A$3:$AC$25,7,0)</f>
        <v>心理健康教育
钟健友
践行楼203</v>
      </c>
      <c r="C5" s="18" t="str">
        <f>VLOOKUP($B$2,总课表!$A$3:$AC$25,8,0)</f>
        <v>安全教育
刘湘力
践行楼203</v>
      </c>
      <c r="D5" s="18">
        <f>VLOOKUP($B$2,总课表!$A$3:$AC$25,9,0)</f>
        <v>0</v>
      </c>
      <c r="E5" s="18" t="str">
        <f>VLOOKUP($B$2,总课表!$A$3:$AC$25,10,0)</f>
        <v>晚自习
班会教室</v>
      </c>
    </row>
    <row r="6" spans="1:5" ht="60" customHeight="1">
      <c r="A6" s="16" t="s">
        <v>119</v>
      </c>
      <c r="B6" s="18" t="str">
        <f>VLOOKUP($B$2,总课表!$A$3:$AC$25,11,0)</f>
        <v>校史学习
刘湘力
践行楼102</v>
      </c>
      <c r="C6" s="18">
        <f>VLOOKUP($B$2,总课表!$A$3:$AC$25,12,0)</f>
        <v>0</v>
      </c>
      <c r="D6" s="18" t="str">
        <f>VLOOKUP($B$2,总课表!$A$3:$AC$25,13,0)</f>
        <v>学籍与考试管理
李含笑
践行楼102</v>
      </c>
      <c r="E6" s="18" t="str">
        <f>VLOOKUP($B$2,总课表!$A$3:$AC$25,14,0)</f>
        <v>晚自习
班会教室</v>
      </c>
    </row>
    <row r="7" spans="1:5" ht="60" customHeight="1">
      <c r="A7" s="16" t="s">
        <v>120</v>
      </c>
      <c r="B7" s="18" t="str">
        <f>VLOOKUP($B$2,总课表!$A$3:$AC$25,15,0)</f>
        <v>资助政策
吴一峰
践行楼203</v>
      </c>
      <c r="C7" s="18" t="str">
        <f>VLOOKUP($B$2,总课表!$A$3:$AC$25,16,0)</f>
        <v>学生管理规定
叶凡
践行楼203</v>
      </c>
      <c r="D7" s="18">
        <f>VLOOKUP($B$2,总课表!$A$3:$AC$25,17,0)</f>
        <v>0</v>
      </c>
      <c r="E7" s="18" t="str">
        <f>VLOOKUP($B$2,总课表!$A$3:$AC$25,18,0)</f>
        <v>晚自习
班会教室</v>
      </c>
    </row>
    <row r="8" spans="1:5" ht="60" customHeight="1">
      <c r="A8" s="16" t="s">
        <v>121</v>
      </c>
      <c r="B8" s="18">
        <f>VLOOKUP($B$2,总课表!$A$3:$AC$25,19,0)</f>
        <v>0</v>
      </c>
      <c r="C8" s="18" t="str">
        <f>VLOOKUP($B$2,总课表!$A$3:$AC$25,20,0)</f>
        <v>党的知识
邱航
践行楼102</v>
      </c>
      <c r="D8" s="18">
        <f>VLOOKUP($B$2,总课表!$A$3:$AC$25,21,0)</f>
        <v>0</v>
      </c>
      <c r="E8" s="18" t="str">
        <f>VLOOKUP($B$2,总课表!$A$3:$AC$25,22,0)</f>
        <v>晚自习
班会教室</v>
      </c>
    </row>
    <row r="9" spans="1:5" ht="60" customHeight="1">
      <c r="A9" s="16" t="s">
        <v>122</v>
      </c>
      <c r="B9" s="18" t="str">
        <f>VLOOKUP($B$2,总课表!$A$3:$AC$25,23,0)</f>
        <v>军事理论教育
肖锋
践行楼202</v>
      </c>
      <c r="C9" s="18" t="str">
        <f>VLOOKUP($B$2,总课表!$A$3:$AC$25,24,0)</f>
        <v>形势与政策
潘威全
践行楼103</v>
      </c>
      <c r="D9" s="18" t="str">
        <f>VLOOKUP($B$2,总课表!$A$3:$AC$25,25,0)</f>
        <v>团课
黎海春
践行楼203</v>
      </c>
      <c r="E9" s="18" t="str">
        <f>VLOOKUP($B$2,总课表!$A$3:$AC$25,26,0)</f>
        <v>晚自习
班会教室</v>
      </c>
    </row>
    <row r="10" spans="1:5" ht="60" customHeight="1">
      <c r="A10" s="16" t="s">
        <v>123</v>
      </c>
      <c r="B10" s="18" t="str">
        <f>VLOOKUP($B$2,总课表!$A$3:$AC$25,27,0)</f>
        <v>自主复习</v>
      </c>
      <c r="C10" s="18" t="str">
        <f>VLOOKUP($B$2,总课表!$A$3:$AC$25,28,0)</f>
        <v>入学教育考试
欧阳瑾
映荷楼402</v>
      </c>
      <c r="D10" s="18">
        <f>VLOOKUP($B$2,总课表!$A$3:$AC$25,29,0)</f>
        <v>0</v>
      </c>
      <c r="E10" s="20" t="str">
        <f>VLOOKUP($B$2,班会教室!A:C,3,0)</f>
        <v>欧阳瑾</v>
      </c>
    </row>
    <row r="11" spans="1:5" ht="129" customHeight="1">
      <c r="A11" s="82" t="s">
        <v>124</v>
      </c>
      <c r="B11" s="83"/>
      <c r="C11" s="83"/>
      <c r="D11" s="83"/>
      <c r="E11" s="83"/>
    </row>
    <row r="12" spans="1:5" ht="60" customHeight="1"/>
    <row r="13" spans="1:5" ht="60" customHeight="1"/>
    <row r="14" spans="1:5" ht="60" customHeight="1"/>
    <row r="15" spans="1:5" ht="60" customHeight="1"/>
    <row r="16" spans="1:5" ht="60" customHeight="1"/>
    <row r="17" ht="60" customHeight="1"/>
    <row r="18" ht="60" customHeight="1"/>
  </sheetData>
  <mergeCells count="3">
    <mergeCell ref="A1:E1"/>
    <mergeCell ref="B2:C2"/>
    <mergeCell ref="A11:E11"/>
  </mergeCells>
  <phoneticPr fontId="43" type="noConversion"/>
  <pageMargins left="0.66874999999999996" right="0.23611111111111099" top="0.59027777777777801" bottom="0.35433070866141703" header="0.31496062992126" footer="0.31496062992126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 Down 2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Drop Down 3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Drop Down 4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Drop Down 5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Drop Down 6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Drop Down 7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Drop Down 8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Drop Down 9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Drop Down 10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Drop Down 11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Drop Down 12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Drop Down 13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Drop Down 14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Drop Down 15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120650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总课表!$A$3:$A$25</xm:f>
          </x14:formula1>
          <xm:sqref>B2:C2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5"/>
  <sheetViews>
    <sheetView zoomScale="55" zoomScaleNormal="55" workbookViewId="0">
      <pane xSplit="1" ySplit="2" topLeftCell="B6" activePane="bottomRight" state="frozen"/>
      <selection pane="topRight"/>
      <selection pane="bottomLeft"/>
      <selection pane="bottomRight" activeCell="B19" activeCellId="1" sqref="B18 B19"/>
    </sheetView>
  </sheetViews>
  <sheetFormatPr defaultColWidth="9" defaultRowHeight="13"/>
  <cols>
    <col min="1" max="1" width="27.09765625" style="11" customWidth="1" collapsed="1"/>
    <col min="2" max="2" width="17.5" style="1" customWidth="1" collapsed="1"/>
    <col min="3" max="3" width="18" style="1" hidden="1" customWidth="1" collapsed="1"/>
    <col min="4" max="6" width="18.09765625" style="1" hidden="1" customWidth="1" collapsed="1"/>
    <col min="7" max="21" width="18.09765625" style="1" customWidth="1" collapsed="1"/>
    <col min="22" max="28" width="18.09765625" style="1" customWidth="1"/>
    <col min="29" max="29" width="18.09765625" style="1" hidden="1" customWidth="1"/>
    <col min="30" max="30" width="9" style="1" hidden="1" customWidth="1"/>
    <col min="31" max="16384" width="9" style="1"/>
  </cols>
  <sheetData>
    <row r="1" spans="1:30" ht="52.5" customHeight="1">
      <c r="I1" s="15" t="s">
        <v>125</v>
      </c>
      <c r="K1" s="84" t="s">
        <v>209</v>
      </c>
      <c r="L1" s="85"/>
      <c r="M1" s="85"/>
    </row>
    <row r="2" spans="1:30" s="10" customFormat="1" ht="46.5" customHeight="1">
      <c r="A2" s="59" t="s">
        <v>127</v>
      </c>
      <c r="B2" s="60" t="str">
        <f>总课表!B2</f>
        <v>人数</v>
      </c>
      <c r="C2" s="60" t="str">
        <f>总课表!C2</f>
        <v>六1∽2</v>
      </c>
      <c r="D2" s="60" t="str">
        <f>总课表!D2</f>
        <v>六3∽4</v>
      </c>
      <c r="E2" s="60" t="str">
        <f>总课表!E2</f>
        <v>六5∽6</v>
      </c>
      <c r="F2" s="60" t="str">
        <f>总课表!F2</f>
        <v>六7~8</v>
      </c>
      <c r="G2" s="60" t="str">
        <f>总课表!G2</f>
        <v>日1∽2</v>
      </c>
      <c r="H2" s="60" t="str">
        <f>总课表!H2</f>
        <v>日3∽4</v>
      </c>
      <c r="I2" s="60" t="str">
        <f>总课表!I2</f>
        <v>日5∽6</v>
      </c>
      <c r="J2" s="60" t="str">
        <f>总课表!J2</f>
        <v>日7~8</v>
      </c>
      <c r="K2" s="60" t="str">
        <f>总课表!K2</f>
        <v>一1∽2</v>
      </c>
      <c r="L2" s="60" t="str">
        <f>总课表!L2</f>
        <v>一3∽4</v>
      </c>
      <c r="M2" s="60" t="str">
        <f>总课表!M2</f>
        <v>一5∽6</v>
      </c>
      <c r="N2" s="60" t="str">
        <f>总课表!N2</f>
        <v>一7~8</v>
      </c>
      <c r="O2" s="60" t="str">
        <f>总课表!O2</f>
        <v>二1∽2</v>
      </c>
      <c r="P2" s="60" t="str">
        <f>总课表!P2</f>
        <v>二3∽4</v>
      </c>
      <c r="Q2" s="60" t="str">
        <f>总课表!Q2</f>
        <v>二5∽6</v>
      </c>
      <c r="R2" s="60" t="str">
        <f>总课表!R2</f>
        <v>二7~8</v>
      </c>
      <c r="S2" s="60" t="str">
        <f>总课表!S2</f>
        <v>三1∽2</v>
      </c>
      <c r="T2" s="60" t="str">
        <f>总课表!T2</f>
        <v>三3∽4</v>
      </c>
      <c r="U2" s="60" t="str">
        <f>总课表!U2</f>
        <v>三5∽6</v>
      </c>
      <c r="V2" s="60" t="str">
        <f>总课表!V2</f>
        <v>三7~8</v>
      </c>
      <c r="W2" s="60" t="str">
        <f>总课表!W2</f>
        <v>四1∽2</v>
      </c>
      <c r="X2" s="60" t="str">
        <f>总课表!X2</f>
        <v>四3∽4</v>
      </c>
      <c r="Y2" s="60" t="str">
        <f>总课表!Y2</f>
        <v>四5∽6</v>
      </c>
      <c r="Z2" s="60" t="str">
        <f>总课表!Z2</f>
        <v>四7~8</v>
      </c>
      <c r="AA2" s="60" t="str">
        <f>总课表!AA2</f>
        <v>五1∽2</v>
      </c>
      <c r="AB2" s="60" t="str">
        <f>总课表!AB2</f>
        <v>五3∽4</v>
      </c>
      <c r="AC2" s="60" t="str">
        <f>总课表!AC2</f>
        <v>五5∽6</v>
      </c>
      <c r="AD2" s="12"/>
    </row>
    <row r="3" spans="1:30" ht="48.9" customHeight="1">
      <c r="A3" s="13" t="str">
        <f>总课表!A3</f>
        <v>23大数据与会计(五年制)</v>
      </c>
      <c r="B3" s="12">
        <f>总课表!B3</f>
        <v>22</v>
      </c>
      <c r="C3" s="14" t="str">
        <f>IF(ISERROR(IF(FIND($K$1,总课表!C3)&gt;1,总课表!C3,"")),"",IF(FIND($K$1,总课表!C3)&gt;0,总课表!C3,""))</f>
        <v/>
      </c>
      <c r="D3" s="14" t="str">
        <f>IF(ISERROR(IF(FIND($K$1,总课表!D3)&gt;1,总课表!D3,"")),"",IF(FIND($K$1,总课表!D3)&gt;0,总课表!D3,""))</f>
        <v/>
      </c>
      <c r="E3" s="14" t="str">
        <f>IF(ISERROR(IF(FIND($K$1,总课表!E3)&gt;1,总课表!E3,"")),"",IF(FIND($K$1,总课表!E3)&gt;0,总课表!E3,""))</f>
        <v/>
      </c>
      <c r="F3" s="14" t="str">
        <f>IF(ISERROR(IF(FIND($K$1,总课表!F3)&gt;1,总课表!F3,"")),"",IF(FIND($K$1,总课表!F3)&gt;0,总课表!F3,""))</f>
        <v/>
      </c>
      <c r="G3" s="14" t="str">
        <f>IF(ISERROR(IF(FIND($K$1,总课表!G3)&gt;1,总课表!G3,"")),"",IF(FIND($K$1,总课表!G3)&gt;0,总课表!G3,""))</f>
        <v/>
      </c>
      <c r="H3" s="14" t="str">
        <f>IF(ISERROR(IF(FIND($K$1,总课表!H3)&gt;1,总课表!H3,"")),"",IF(FIND($K$1,总课表!H3)&gt;0,总课表!H3,""))</f>
        <v/>
      </c>
      <c r="I3" s="14" t="str">
        <f>IF(ISERROR(IF(FIND($K$1,总课表!I3)&gt;1,总课表!I3,"")),"",IF(FIND($K$1,总课表!I3)&gt;0,总课表!I3,""))</f>
        <v/>
      </c>
      <c r="J3" s="14" t="str">
        <f>IF(ISERROR(IF(FIND($K$1,总课表!J3)&gt;1,总课表!J3,"")),"",IF(FIND($K$1,总课表!J3)&gt;0,总课表!J3,""))</f>
        <v/>
      </c>
      <c r="K3" s="14" t="str">
        <f>IF(ISERROR(IF(FIND($K$1,总课表!K3)&gt;1,总课表!K3,"")),"",IF(FIND($K$1,总课表!K3)&gt;0,总课表!K3,""))</f>
        <v/>
      </c>
      <c r="L3" s="14" t="str">
        <f>IF(ISERROR(IF(FIND($K$1,总课表!L3)&gt;1,总课表!L3,"")),"",IF(FIND($K$1,总课表!L3)&gt;0,总课表!L3,""))</f>
        <v/>
      </c>
      <c r="M3" s="14" t="str">
        <f>IF(ISERROR(IF(FIND($K$1,总课表!M3)&gt;1,总课表!M3,"")),"",IF(FIND($K$1,总课表!M3)&gt;0,总课表!M3,""))</f>
        <v/>
      </c>
      <c r="N3" s="14" t="str">
        <f>IF(ISERROR(IF(FIND($K$1,总课表!N3)&gt;1,总课表!N3,"")),"",IF(FIND($K$1,总课表!N3)&gt;0,总课表!N3,""))</f>
        <v/>
      </c>
      <c r="O3" s="14" t="str">
        <f>IF(ISERROR(IF(FIND($K$1,总课表!O3)&gt;1,总课表!O3,"")),"",IF(FIND($K$1,总课表!O3)&gt;0,总课表!O3,""))</f>
        <v/>
      </c>
      <c r="P3" s="14" t="str">
        <f>IF(ISERROR(IF(FIND($K$1,总课表!P3)&gt;1,总课表!P3,"")),"",IF(FIND($K$1,总课表!P3)&gt;0,总课表!P3,""))</f>
        <v/>
      </c>
      <c r="Q3" s="14" t="str">
        <f>IF(ISERROR(IF(FIND($K$1,总课表!Q3)&gt;1,总课表!Q3,"")),"",IF(FIND($K$1,总课表!Q3)&gt;0,总课表!Q3,""))</f>
        <v/>
      </c>
      <c r="R3" s="14" t="str">
        <f>IF(ISERROR(IF(FIND($K$1,总课表!R3)&gt;1,总课表!R3,"")),"",IF(FIND($K$1,总课表!R3)&gt;0,总课表!R3,""))</f>
        <v/>
      </c>
      <c r="S3" s="14" t="str">
        <f>IF(ISERROR(IF(FIND($K$1,总课表!S3)&gt;1,总课表!S3,"")),"",IF(FIND($K$1,总课表!S3)&gt;0,总课表!S3,""))</f>
        <v/>
      </c>
      <c r="T3" s="14" t="str">
        <f>IF(ISERROR(IF(FIND($K$1,总课表!T3)&gt;1,总课表!T3,"")),"",IF(FIND($K$1,总课表!T3)&gt;0,总课表!T3,""))</f>
        <v/>
      </c>
      <c r="U3" s="14" t="str">
        <f>IF(ISERROR(IF(FIND($K$1,总课表!U3)&gt;1,总课表!U3,"")),"",IF(FIND($K$1,总课表!U3)&gt;0,总课表!U3,""))</f>
        <v/>
      </c>
      <c r="V3" s="14" t="str">
        <f>IF(ISERROR(IF(FIND($K$1,总课表!V3)&gt;1,总课表!V3,"")),"",IF(FIND($K$1,总课表!V3)&gt;0,总课表!V3,""))</f>
        <v/>
      </c>
      <c r="W3" s="14" t="str">
        <f>IF(ISERROR(IF(FIND($K$1,总课表!W3)&gt;1,总课表!W3,"")),"",IF(FIND($K$1,总课表!W3)&gt;0,总课表!W3,""))</f>
        <v/>
      </c>
      <c r="X3" s="14" t="str">
        <f>IF(ISERROR(IF(FIND($K$1,总课表!X3)&gt;1,总课表!X3,"")),"",IF(FIND($K$1,总课表!X3)&gt;0,总课表!X3,""))</f>
        <v/>
      </c>
      <c r="Y3" s="14" t="str">
        <f>IF(ISERROR(IF(FIND($K$1,总课表!Y3)&gt;1,总课表!Y3,"")),"",IF(FIND($K$1,总课表!Y3)&gt;0,总课表!Y3,""))</f>
        <v/>
      </c>
      <c r="Z3" s="14" t="str">
        <f>IF(ISERROR(IF(FIND($K$1,总课表!Z3)&gt;1,总课表!Z3,"")),"",IF(FIND($K$1,总课表!Z3)&gt;0,总课表!Z3,""))</f>
        <v/>
      </c>
      <c r="AA3" s="14" t="str">
        <f>IF(ISERROR(IF(FIND($K$1,总课表!AA3)&gt;1,总课表!AA3,"")),"",IF(FIND($K$1,总课表!AA3)&gt;0,总课表!AA3,""))</f>
        <v/>
      </c>
      <c r="AB3" s="14" t="str">
        <f>IF(ISERROR(IF(FIND($K$1,总课表!AB3)&gt;1,总课表!AB3,"")),"",IF(FIND($K$1,总课表!AB3)&gt;0,总课表!AB3,""))</f>
        <v/>
      </c>
      <c r="AC3" s="14" t="str">
        <f>IF(ISERROR(IF(FIND($K$1,总课表!AC3)&gt;1,总课表!AC3,"")),"",IF(FIND($K$1,总课表!AC3)&gt;0,总课表!AC3,""))</f>
        <v/>
      </c>
    </row>
    <row r="4" spans="1:30" ht="48.9" customHeight="1">
      <c r="A4" s="13" t="str">
        <f>总课表!A4</f>
        <v>23计算机应用技术(五年制)</v>
      </c>
      <c r="B4" s="12">
        <f>总课表!B4</f>
        <v>30</v>
      </c>
      <c r="C4" s="14" t="str">
        <f>IF(ISERROR(IF(FIND($K$1,总课表!C4)&gt;1,总课表!C4,"")),"",IF(FIND($K$1,总课表!C4)&gt;0,总课表!C4,""))</f>
        <v/>
      </c>
      <c r="D4" s="14" t="str">
        <f>IF(ISERROR(IF(FIND($K$1,总课表!D4)&gt;1,总课表!D4,"")),"",IF(FIND($K$1,总课表!D4)&gt;0,总课表!D4,""))</f>
        <v/>
      </c>
      <c r="E4" s="14" t="str">
        <f>IF(ISERROR(IF(FIND($K$1,总课表!E4)&gt;1,总课表!E4,"")),"",IF(FIND($K$1,总课表!E4)&gt;0,总课表!E4,""))</f>
        <v/>
      </c>
      <c r="F4" s="14" t="str">
        <f>IF(ISERROR(IF(FIND($K$1,总课表!F4)&gt;1,总课表!F4,"")),"",IF(FIND($K$1,总课表!F4)&gt;0,总课表!F4,""))</f>
        <v/>
      </c>
      <c r="G4" s="14" t="str">
        <f>IF(ISERROR(IF(FIND($K$1,总课表!G4)&gt;1,总课表!G4,"")),"",IF(FIND($K$1,总课表!G4)&gt;0,总课表!G4,""))</f>
        <v/>
      </c>
      <c r="H4" s="14" t="str">
        <f>IF(ISERROR(IF(FIND($K$1,总课表!H4)&gt;1,总课表!H4,"")),"",IF(FIND($K$1,总课表!H4)&gt;0,总课表!H4,""))</f>
        <v/>
      </c>
      <c r="I4" s="14" t="str">
        <f>IF(ISERROR(IF(FIND($K$1,总课表!I4)&gt;1,总课表!I4,"")),"",IF(FIND($K$1,总课表!I4)&gt;0,总课表!I4,""))</f>
        <v/>
      </c>
      <c r="J4" s="14" t="str">
        <f>IF(ISERROR(IF(FIND($K$1,总课表!J4)&gt;1,总课表!J4,"")),"",IF(FIND($K$1,总课表!J4)&gt;0,总课表!J4,""))</f>
        <v/>
      </c>
      <c r="K4" s="14" t="str">
        <f>IF(ISERROR(IF(FIND($K$1,总课表!K4)&gt;1,总课表!K4,"")),"",IF(FIND($K$1,总课表!K4)&gt;0,总课表!K4,""))</f>
        <v/>
      </c>
      <c r="L4" s="14" t="str">
        <f>IF(ISERROR(IF(FIND($K$1,总课表!L4)&gt;1,总课表!L4,"")),"",IF(FIND($K$1,总课表!L4)&gt;0,总课表!L4,""))</f>
        <v/>
      </c>
      <c r="M4" s="14" t="str">
        <f>IF(ISERROR(IF(FIND($K$1,总课表!M4)&gt;1,总课表!M4,"")),"",IF(FIND($K$1,总课表!M4)&gt;0,总课表!M4,""))</f>
        <v/>
      </c>
      <c r="N4" s="14" t="str">
        <f>IF(ISERROR(IF(FIND($K$1,总课表!N4)&gt;1,总课表!N4,"")),"",IF(FIND($K$1,总课表!N4)&gt;0,总课表!N4,""))</f>
        <v/>
      </c>
      <c r="O4" s="14" t="str">
        <f>IF(ISERROR(IF(FIND($K$1,总课表!O4)&gt;1,总课表!O4,"")),"",IF(FIND($K$1,总课表!O4)&gt;0,总课表!O4,""))</f>
        <v/>
      </c>
      <c r="P4" s="14" t="str">
        <f>IF(ISERROR(IF(FIND($K$1,总课表!P4)&gt;1,总课表!P4,"")),"",IF(FIND($K$1,总课表!P4)&gt;0,总课表!P4,""))</f>
        <v/>
      </c>
      <c r="Q4" s="14" t="str">
        <f>IF(ISERROR(IF(FIND($K$1,总课表!Q4)&gt;1,总课表!Q4,"")),"",IF(FIND($K$1,总课表!Q4)&gt;0,总课表!Q4,""))</f>
        <v/>
      </c>
      <c r="R4" s="14" t="str">
        <f>IF(ISERROR(IF(FIND($K$1,总课表!R4)&gt;1,总课表!R4,"")),"",IF(FIND($K$1,总课表!R4)&gt;0,总课表!R4,""))</f>
        <v/>
      </c>
      <c r="S4" s="14" t="str">
        <f>IF(ISERROR(IF(FIND($K$1,总课表!S4)&gt;1,总课表!S4,"")),"",IF(FIND($K$1,总课表!S4)&gt;0,总课表!S4,""))</f>
        <v/>
      </c>
      <c r="T4" s="14" t="str">
        <f>IF(ISERROR(IF(FIND($K$1,总课表!T4)&gt;1,总课表!T4,"")),"",IF(FIND($K$1,总课表!T4)&gt;0,总课表!T4,""))</f>
        <v/>
      </c>
      <c r="U4" s="14" t="str">
        <f>IF(ISERROR(IF(FIND($K$1,总课表!U4)&gt;1,总课表!U4,"")),"",IF(FIND($K$1,总课表!U4)&gt;0,总课表!U4,""))</f>
        <v/>
      </c>
      <c r="V4" s="14" t="str">
        <f>IF(ISERROR(IF(FIND($K$1,总课表!V4)&gt;1,总课表!V4,"")),"",IF(FIND($K$1,总课表!V4)&gt;0,总课表!V4,""))</f>
        <v/>
      </c>
      <c r="W4" s="14" t="str">
        <f>IF(ISERROR(IF(FIND($K$1,总课表!W4)&gt;1,总课表!W4,"")),"",IF(FIND($K$1,总课表!W4)&gt;0,总课表!W4,""))</f>
        <v/>
      </c>
      <c r="X4" s="14" t="str">
        <f>IF(ISERROR(IF(FIND($K$1,总课表!X4)&gt;1,总课表!X4,"")),"",IF(FIND($K$1,总课表!X4)&gt;0,总课表!X4,""))</f>
        <v/>
      </c>
      <c r="Y4" s="14" t="str">
        <f>IF(ISERROR(IF(FIND($K$1,总课表!Y4)&gt;1,总课表!Y4,"")),"",IF(FIND($K$1,总课表!Y4)&gt;0,总课表!Y4,""))</f>
        <v/>
      </c>
      <c r="Z4" s="14" t="str">
        <f>IF(ISERROR(IF(FIND($K$1,总课表!Z4)&gt;1,总课表!Z4,"")),"",IF(FIND($K$1,总课表!Z4)&gt;0,总课表!Z4,""))</f>
        <v/>
      </c>
      <c r="AA4" s="14" t="str">
        <f>IF(ISERROR(IF(FIND($K$1,总课表!AA4)&gt;1,总课表!AA4,"")),"",IF(FIND($K$1,总课表!AA4)&gt;0,总课表!AA4,""))</f>
        <v/>
      </c>
      <c r="AB4" s="14" t="str">
        <f>IF(ISERROR(IF(FIND($K$1,总课表!AB4)&gt;1,总课表!AB4,"")),"",IF(FIND($K$1,总课表!AB4)&gt;0,总课表!AB4,""))</f>
        <v/>
      </c>
      <c r="AC4" s="14" t="str">
        <f>IF(ISERROR(IF(FIND($K$1,总课表!AC4)&gt;1,总课表!AC4,"")),"",IF(FIND($K$1,总课表!AC4)&gt;0,总课表!AC4,""))</f>
        <v/>
      </c>
    </row>
    <row r="5" spans="1:30" ht="48.9" customHeight="1">
      <c r="A5" s="13" t="str">
        <f>总课表!A5</f>
        <v>23工程造价1</v>
      </c>
      <c r="B5" s="12">
        <f>总课表!B5</f>
        <v>60</v>
      </c>
      <c r="C5" s="14" t="str">
        <f>IF(ISERROR(IF(FIND($K$1,总课表!C5)&gt;1,总课表!C5,"")),"",IF(FIND($K$1,总课表!C5)&gt;0,总课表!C5,""))</f>
        <v/>
      </c>
      <c r="D5" s="14" t="str">
        <f>IF(ISERROR(IF(FIND($K$1,总课表!D5)&gt;1,总课表!D5,"")),"",IF(FIND($K$1,总课表!D5)&gt;0,总课表!D5,""))</f>
        <v/>
      </c>
      <c r="E5" s="14" t="str">
        <f>IF(ISERROR(IF(FIND($K$1,总课表!E5)&gt;1,总课表!E5,"")),"",IF(FIND($K$1,总课表!E5)&gt;0,总课表!E5,""))</f>
        <v/>
      </c>
      <c r="F5" s="14" t="str">
        <f>IF(ISERROR(IF(FIND($K$1,总课表!F5)&gt;1,总课表!F5,"")),"",IF(FIND($K$1,总课表!F5)&gt;0,总课表!F5,""))</f>
        <v/>
      </c>
      <c r="G5" s="14" t="str">
        <f>IF(ISERROR(IF(FIND($K$1,总课表!G5)&gt;1,总课表!G5,"")),"",IF(FIND($K$1,总课表!G5)&gt;0,总课表!G5,""))</f>
        <v/>
      </c>
      <c r="H5" s="14" t="str">
        <f>IF(ISERROR(IF(FIND($K$1,总课表!H5)&gt;1,总课表!H5,"")),"",IF(FIND($K$1,总课表!H5)&gt;0,总课表!H5,""))</f>
        <v/>
      </c>
      <c r="I5" s="14" t="str">
        <f>IF(ISERROR(IF(FIND($K$1,总课表!I5)&gt;1,总课表!I5,"")),"",IF(FIND($K$1,总课表!I5)&gt;0,总课表!I5,""))</f>
        <v/>
      </c>
      <c r="J5" s="14" t="str">
        <f>IF(ISERROR(IF(FIND($K$1,总课表!J5)&gt;1,总课表!J5,"")),"",IF(FIND($K$1,总课表!J5)&gt;0,总课表!J5,""))</f>
        <v/>
      </c>
      <c r="K5" s="14" t="str">
        <f>IF(ISERROR(IF(FIND($K$1,总课表!K5)&gt;1,总课表!K5,"")),"",IF(FIND($K$1,总课表!K5)&gt;0,总课表!K5,""))</f>
        <v/>
      </c>
      <c r="L5" s="14" t="str">
        <f>IF(ISERROR(IF(FIND($K$1,总课表!L5)&gt;1,总课表!L5,"")),"",IF(FIND($K$1,总课表!L5)&gt;0,总课表!L5,""))</f>
        <v/>
      </c>
      <c r="M5" s="14" t="str">
        <f>IF(ISERROR(IF(FIND($K$1,总课表!M5)&gt;1,总课表!M5,"")),"",IF(FIND($K$1,总课表!M5)&gt;0,总课表!M5,""))</f>
        <v/>
      </c>
      <c r="N5" s="14" t="str">
        <f>IF(ISERROR(IF(FIND($K$1,总课表!N5)&gt;1,总课表!N5,"")),"",IF(FIND($K$1,总课表!N5)&gt;0,总课表!N5,""))</f>
        <v/>
      </c>
      <c r="O5" s="14" t="str">
        <f>IF(ISERROR(IF(FIND($K$1,总课表!O5)&gt;1,总课表!O5,"")),"",IF(FIND($K$1,总课表!O5)&gt;0,总课表!O5,""))</f>
        <v/>
      </c>
      <c r="P5" s="14" t="str">
        <f>IF(ISERROR(IF(FIND($K$1,总课表!P5)&gt;1,总课表!P5,"")),"",IF(FIND($K$1,总课表!P5)&gt;0,总课表!P5,""))</f>
        <v/>
      </c>
      <c r="Q5" s="14" t="str">
        <f>IF(ISERROR(IF(FIND($K$1,总课表!Q5)&gt;1,总课表!Q5,"")),"",IF(FIND($K$1,总课表!Q5)&gt;0,总课表!Q5,""))</f>
        <v/>
      </c>
      <c r="R5" s="14" t="str">
        <f>IF(ISERROR(IF(FIND($K$1,总课表!R5)&gt;1,总课表!R5,"")),"",IF(FIND($K$1,总课表!R5)&gt;0,总课表!R5,""))</f>
        <v/>
      </c>
      <c r="S5" s="14" t="str">
        <f>IF(ISERROR(IF(FIND($K$1,总课表!S5)&gt;1,总课表!S5,"")),"",IF(FIND($K$1,总课表!S5)&gt;0,总课表!S5,""))</f>
        <v/>
      </c>
      <c r="T5" s="14" t="str">
        <f>IF(ISERROR(IF(FIND($K$1,总课表!T5)&gt;1,总课表!T5,"")),"",IF(FIND($K$1,总课表!T5)&gt;0,总课表!T5,""))</f>
        <v/>
      </c>
      <c r="U5" s="14" t="str">
        <f>IF(ISERROR(IF(FIND($K$1,总课表!U5)&gt;1,总课表!U5,"")),"",IF(FIND($K$1,总课表!U5)&gt;0,总课表!U5,""))</f>
        <v/>
      </c>
      <c r="V5" s="14" t="str">
        <f>IF(ISERROR(IF(FIND($K$1,总课表!V5)&gt;1,总课表!V5,"")),"",IF(FIND($K$1,总课表!V5)&gt;0,总课表!V5,""))</f>
        <v/>
      </c>
      <c r="W5" s="14" t="str">
        <f>IF(ISERROR(IF(FIND($K$1,总课表!W5)&gt;1,总课表!W5,"")),"",IF(FIND($K$1,总课表!W5)&gt;0,总课表!W5,""))</f>
        <v/>
      </c>
      <c r="X5" s="14" t="str">
        <f>IF(ISERROR(IF(FIND($K$1,总课表!X5)&gt;1,总课表!X5,"")),"",IF(FIND($K$1,总课表!X5)&gt;0,总课表!X5,""))</f>
        <v/>
      </c>
      <c r="Y5" s="14" t="str">
        <f>IF(ISERROR(IF(FIND($K$1,总课表!Y5)&gt;1,总课表!Y5,"")),"",IF(FIND($K$1,总课表!Y5)&gt;0,总课表!Y5,""))</f>
        <v/>
      </c>
      <c r="Z5" s="14" t="str">
        <f>IF(ISERROR(IF(FIND($K$1,总课表!Z5)&gt;1,总课表!Z5,"")),"",IF(FIND($K$1,总课表!Z5)&gt;0,总课表!Z5,""))</f>
        <v/>
      </c>
      <c r="AA5" s="14" t="str">
        <f>IF(ISERROR(IF(FIND($K$1,总课表!AA5)&gt;1,总课表!AA5,"")),"",IF(FIND($K$1,总课表!AA5)&gt;0,总课表!AA5,""))</f>
        <v/>
      </c>
      <c r="AB5" s="14" t="str">
        <f>IF(ISERROR(IF(FIND($K$1,总课表!AB5)&gt;1,总课表!AB5,"")),"",IF(FIND($K$1,总课表!AB5)&gt;0,总课表!AB5,""))</f>
        <v/>
      </c>
      <c r="AC5" s="14" t="str">
        <f>IF(ISERROR(IF(FIND($K$1,总课表!AC5)&gt;1,总课表!AC5,"")),"",IF(FIND($K$1,总课表!AC5)&gt;0,总课表!AC5,""))</f>
        <v/>
      </c>
    </row>
    <row r="6" spans="1:30" ht="48.9" customHeight="1">
      <c r="A6" s="13" t="str">
        <f>总课表!A6</f>
        <v>23工程造价2</v>
      </c>
      <c r="B6" s="12">
        <f>总课表!B6</f>
        <v>52</v>
      </c>
      <c r="C6" s="14" t="str">
        <f>IF(ISERROR(IF(FIND($K$1,总课表!C6)&gt;1,总课表!C6,"")),"",IF(FIND($K$1,总课表!C6)&gt;0,总课表!C6,""))</f>
        <v/>
      </c>
      <c r="D6" s="14" t="str">
        <f>IF(ISERROR(IF(FIND($K$1,总课表!D6)&gt;1,总课表!D6,"")),"",IF(FIND($K$1,总课表!D6)&gt;0,总课表!D6,""))</f>
        <v/>
      </c>
      <c r="E6" s="14" t="str">
        <f>IF(ISERROR(IF(FIND($K$1,总课表!E6)&gt;1,总课表!E6,"")),"",IF(FIND($K$1,总课表!E6)&gt;0,总课表!E6,""))</f>
        <v/>
      </c>
      <c r="F6" s="14" t="str">
        <f>IF(ISERROR(IF(FIND($K$1,总课表!F6)&gt;1,总课表!F6,"")),"",IF(FIND($K$1,总课表!F6)&gt;0,总课表!F6,""))</f>
        <v/>
      </c>
      <c r="G6" s="14" t="str">
        <f>IF(ISERROR(IF(FIND($K$1,总课表!G6)&gt;1,总课表!G6,"")),"",IF(FIND($K$1,总课表!G6)&gt;0,总课表!G6,""))</f>
        <v/>
      </c>
      <c r="H6" s="14" t="str">
        <f>IF(ISERROR(IF(FIND($K$1,总课表!H6)&gt;1,总课表!H6,"")),"",IF(FIND($K$1,总课表!H6)&gt;0,总课表!H6,""))</f>
        <v/>
      </c>
      <c r="I6" s="14" t="str">
        <f>IF(ISERROR(IF(FIND($K$1,总课表!I6)&gt;1,总课表!I6,"")),"",IF(FIND($K$1,总课表!I6)&gt;0,总课表!I6,""))</f>
        <v/>
      </c>
      <c r="J6" s="14" t="str">
        <f>IF(ISERROR(IF(FIND($K$1,总课表!J6)&gt;1,总课表!J6,"")),"",IF(FIND($K$1,总课表!J6)&gt;0,总课表!J6,""))</f>
        <v/>
      </c>
      <c r="K6" s="14" t="str">
        <f>IF(ISERROR(IF(FIND($K$1,总课表!K6)&gt;1,总课表!K6,"")),"",IF(FIND($K$1,总课表!K6)&gt;0,总课表!K6,""))</f>
        <v/>
      </c>
      <c r="L6" s="14" t="str">
        <f>IF(ISERROR(IF(FIND($K$1,总课表!L6)&gt;1,总课表!L6,"")),"",IF(FIND($K$1,总课表!L6)&gt;0,总课表!L6,""))</f>
        <v/>
      </c>
      <c r="M6" s="14" t="str">
        <f>IF(ISERROR(IF(FIND($K$1,总课表!M6)&gt;1,总课表!M6,"")),"",IF(FIND($K$1,总课表!M6)&gt;0,总课表!M6,""))</f>
        <v/>
      </c>
      <c r="N6" s="14" t="str">
        <f>IF(ISERROR(IF(FIND($K$1,总课表!N6)&gt;1,总课表!N6,"")),"",IF(FIND($K$1,总课表!N6)&gt;0,总课表!N6,""))</f>
        <v/>
      </c>
      <c r="O6" s="14" t="str">
        <f>IF(ISERROR(IF(FIND($K$1,总课表!O6)&gt;1,总课表!O6,"")),"",IF(FIND($K$1,总课表!O6)&gt;0,总课表!O6,""))</f>
        <v/>
      </c>
      <c r="P6" s="14" t="str">
        <f>IF(ISERROR(IF(FIND($K$1,总课表!P6)&gt;1,总课表!P6,"")),"",IF(FIND($K$1,总课表!P6)&gt;0,总课表!P6,""))</f>
        <v/>
      </c>
      <c r="Q6" s="14" t="str">
        <f>IF(ISERROR(IF(FIND($K$1,总课表!Q6)&gt;1,总课表!Q6,"")),"",IF(FIND($K$1,总课表!Q6)&gt;0,总课表!Q6,""))</f>
        <v/>
      </c>
      <c r="R6" s="14" t="str">
        <f>IF(ISERROR(IF(FIND($K$1,总课表!R6)&gt;1,总课表!R6,"")),"",IF(FIND($K$1,总课表!R6)&gt;0,总课表!R6,""))</f>
        <v/>
      </c>
      <c r="S6" s="14" t="str">
        <f>IF(ISERROR(IF(FIND($K$1,总课表!S6)&gt;1,总课表!S6,"")),"",IF(FIND($K$1,总课表!S6)&gt;0,总课表!S6,""))</f>
        <v/>
      </c>
      <c r="T6" s="14" t="str">
        <f>IF(ISERROR(IF(FIND($K$1,总课表!T6)&gt;1,总课表!T6,"")),"",IF(FIND($K$1,总课表!T6)&gt;0,总课表!T6,""))</f>
        <v/>
      </c>
      <c r="U6" s="14" t="str">
        <f>IF(ISERROR(IF(FIND($K$1,总课表!U6)&gt;1,总课表!U6,"")),"",IF(FIND($K$1,总课表!U6)&gt;0,总课表!U6,""))</f>
        <v/>
      </c>
      <c r="V6" s="14" t="str">
        <f>IF(ISERROR(IF(FIND($K$1,总课表!V6)&gt;1,总课表!V6,"")),"",IF(FIND($K$1,总课表!V6)&gt;0,总课表!V6,""))</f>
        <v/>
      </c>
      <c r="W6" s="14" t="str">
        <f>IF(ISERROR(IF(FIND($K$1,总课表!W6)&gt;1,总课表!W6,"")),"",IF(FIND($K$1,总课表!W6)&gt;0,总课表!W6,""))</f>
        <v/>
      </c>
      <c r="X6" s="14" t="str">
        <f>IF(ISERROR(IF(FIND($K$1,总课表!X6)&gt;1,总课表!X6,"")),"",IF(FIND($K$1,总课表!X6)&gt;0,总课表!X6,""))</f>
        <v/>
      </c>
      <c r="Y6" s="14" t="str">
        <f>IF(ISERROR(IF(FIND($K$1,总课表!Y6)&gt;1,总课表!Y6,"")),"",IF(FIND($K$1,总课表!Y6)&gt;0,总课表!Y6,""))</f>
        <v/>
      </c>
      <c r="Z6" s="14" t="str">
        <f>IF(ISERROR(IF(FIND($K$1,总课表!Z6)&gt;1,总课表!Z6,"")),"",IF(FIND($K$1,总课表!Z6)&gt;0,总课表!Z6,""))</f>
        <v/>
      </c>
      <c r="AA6" s="14" t="str">
        <f>IF(ISERROR(IF(FIND($K$1,总课表!AA6)&gt;1,总课表!AA6,"")),"",IF(FIND($K$1,总课表!AA6)&gt;0,总课表!AA6,""))</f>
        <v/>
      </c>
      <c r="AB6" s="14" t="str">
        <f>IF(ISERROR(IF(FIND($K$1,总课表!AB6)&gt;1,总课表!AB6,"")),"",IF(FIND($K$1,总课表!AB6)&gt;0,总课表!AB6,""))</f>
        <v/>
      </c>
      <c r="AC6" s="14" t="str">
        <f>IF(ISERROR(IF(FIND($K$1,总课表!AC6)&gt;1,总课表!AC6,"")),"",IF(FIND($K$1,总课表!AC6)&gt;0,总课表!AC6,""))</f>
        <v/>
      </c>
    </row>
    <row r="7" spans="1:30" ht="48.9" customHeight="1">
      <c r="A7" s="13" t="str">
        <f>总课表!A7</f>
        <v>23工程造价3</v>
      </c>
      <c r="B7" s="12">
        <f>总课表!B7</f>
        <v>52</v>
      </c>
      <c r="C7" s="14" t="str">
        <f>IF(ISERROR(IF(FIND($K$1,总课表!C7)&gt;1,总课表!C7,"")),"",IF(FIND($K$1,总课表!C7)&gt;0,总课表!C7,""))</f>
        <v/>
      </c>
      <c r="D7" s="14" t="str">
        <f>IF(ISERROR(IF(FIND($K$1,总课表!D7)&gt;1,总课表!D7,"")),"",IF(FIND($K$1,总课表!D7)&gt;0,总课表!D7,""))</f>
        <v/>
      </c>
      <c r="E7" s="14" t="str">
        <f>IF(ISERROR(IF(FIND($K$1,总课表!E7)&gt;1,总课表!E7,"")),"",IF(FIND($K$1,总课表!E7)&gt;0,总课表!E7,""))</f>
        <v/>
      </c>
      <c r="F7" s="14" t="str">
        <f>IF(ISERROR(IF(FIND($K$1,总课表!F7)&gt;1,总课表!F7,"")),"",IF(FIND($K$1,总课表!F7)&gt;0,总课表!F7,""))</f>
        <v/>
      </c>
      <c r="G7" s="14" t="str">
        <f>IF(ISERROR(IF(FIND($K$1,总课表!G7)&gt;1,总课表!G7,"")),"",IF(FIND($K$1,总课表!G7)&gt;0,总课表!G7,""))</f>
        <v/>
      </c>
      <c r="H7" s="14" t="str">
        <f>IF(ISERROR(IF(FIND($K$1,总课表!H7)&gt;1,总课表!H7,"")),"",IF(FIND($K$1,总课表!H7)&gt;0,总课表!H7,""))</f>
        <v/>
      </c>
      <c r="I7" s="14" t="str">
        <f>IF(ISERROR(IF(FIND($K$1,总课表!I7)&gt;1,总课表!I7,"")),"",IF(FIND($K$1,总课表!I7)&gt;0,总课表!I7,""))</f>
        <v/>
      </c>
      <c r="J7" s="14" t="str">
        <f>IF(ISERROR(IF(FIND($K$1,总课表!J7)&gt;1,总课表!J7,"")),"",IF(FIND($K$1,总课表!J7)&gt;0,总课表!J7,""))</f>
        <v/>
      </c>
      <c r="K7" s="14" t="str">
        <f>IF(ISERROR(IF(FIND($K$1,总课表!K7)&gt;1,总课表!K7,"")),"",IF(FIND($K$1,总课表!K7)&gt;0,总课表!K7,""))</f>
        <v/>
      </c>
      <c r="L7" s="14" t="str">
        <f>IF(ISERROR(IF(FIND($K$1,总课表!L7)&gt;1,总课表!L7,"")),"",IF(FIND($K$1,总课表!L7)&gt;0,总课表!L7,""))</f>
        <v/>
      </c>
      <c r="M7" s="14" t="str">
        <f>IF(ISERROR(IF(FIND($K$1,总课表!M7)&gt;1,总课表!M7,"")),"",IF(FIND($K$1,总课表!M7)&gt;0,总课表!M7,""))</f>
        <v/>
      </c>
      <c r="N7" s="14" t="str">
        <f>IF(ISERROR(IF(FIND($K$1,总课表!N7)&gt;1,总课表!N7,"")),"",IF(FIND($K$1,总课表!N7)&gt;0,总课表!N7,""))</f>
        <v>形势与政策
潘威全
践行楼202</v>
      </c>
      <c r="O7" s="14" t="str">
        <f>IF(ISERROR(IF(FIND($K$1,总课表!O7)&gt;1,总课表!O7,"")),"",IF(FIND($K$1,总课表!O7)&gt;0,总课表!O7,""))</f>
        <v/>
      </c>
      <c r="P7" s="14" t="str">
        <f>IF(ISERROR(IF(FIND($K$1,总课表!P7)&gt;1,总课表!P7,"")),"",IF(FIND($K$1,总课表!P7)&gt;0,总课表!P7,""))</f>
        <v/>
      </c>
      <c r="Q7" s="14" t="str">
        <f>IF(ISERROR(IF(FIND($K$1,总课表!Q7)&gt;1,总课表!Q7,"")),"",IF(FIND($K$1,总课表!Q7)&gt;0,总课表!Q7,""))</f>
        <v/>
      </c>
      <c r="R7" s="14" t="str">
        <f>IF(ISERROR(IF(FIND($K$1,总课表!R7)&gt;1,总课表!R7,"")),"",IF(FIND($K$1,总课表!R7)&gt;0,总课表!R7,""))</f>
        <v/>
      </c>
      <c r="S7" s="14" t="str">
        <f>IF(ISERROR(IF(FIND($K$1,总课表!S7)&gt;1,总课表!S7,"")),"",IF(FIND($K$1,总课表!S7)&gt;0,总课表!S7,""))</f>
        <v/>
      </c>
      <c r="T7" s="14" t="str">
        <f>IF(ISERROR(IF(FIND($K$1,总课表!T7)&gt;1,总课表!T7,"")),"",IF(FIND($K$1,总课表!T7)&gt;0,总课表!T7,""))</f>
        <v/>
      </c>
      <c r="U7" s="14" t="str">
        <f>IF(ISERROR(IF(FIND($K$1,总课表!U7)&gt;1,总课表!U7,"")),"",IF(FIND($K$1,总课表!U7)&gt;0,总课表!U7,""))</f>
        <v/>
      </c>
      <c r="V7" s="14" t="str">
        <f>IF(ISERROR(IF(FIND($K$1,总课表!V7)&gt;1,总课表!V7,"")),"",IF(FIND($K$1,总课表!V7)&gt;0,总课表!V7,""))</f>
        <v/>
      </c>
      <c r="W7" s="14" t="str">
        <f>IF(ISERROR(IF(FIND($K$1,总课表!W7)&gt;1,总课表!W7,"")),"",IF(FIND($K$1,总课表!W7)&gt;0,总课表!W7,""))</f>
        <v/>
      </c>
      <c r="X7" s="14" t="str">
        <f>IF(ISERROR(IF(FIND($K$1,总课表!X7)&gt;1,总课表!X7,"")),"",IF(FIND($K$1,总课表!X7)&gt;0,总课表!X7,""))</f>
        <v/>
      </c>
      <c r="Y7" s="14" t="str">
        <f>IF(ISERROR(IF(FIND($K$1,总课表!Y7)&gt;1,总课表!Y7,"")),"",IF(FIND($K$1,总课表!Y7)&gt;0,总课表!Y7,""))</f>
        <v/>
      </c>
      <c r="Z7" s="14" t="str">
        <f>IF(ISERROR(IF(FIND($K$1,总课表!Z7)&gt;1,总课表!Z7,"")),"",IF(FIND($K$1,总课表!Z7)&gt;0,总课表!Z7,""))</f>
        <v/>
      </c>
      <c r="AA7" s="14" t="str">
        <f>IF(ISERROR(IF(FIND($K$1,总课表!AA7)&gt;1,总课表!AA7,"")),"",IF(FIND($K$1,总课表!AA7)&gt;0,总课表!AA7,""))</f>
        <v/>
      </c>
      <c r="AB7" s="14" t="str">
        <f>IF(ISERROR(IF(FIND($K$1,总课表!AB7)&gt;1,总课表!AB7,"")),"",IF(FIND($K$1,总课表!AB7)&gt;0,总课表!AB7,""))</f>
        <v/>
      </c>
      <c r="AC7" s="14" t="str">
        <f>IF(ISERROR(IF(FIND($K$1,总课表!AC7)&gt;1,总课表!AC7,"")),"",IF(FIND($K$1,总课表!AC7)&gt;0,总课表!AC7,""))</f>
        <v/>
      </c>
    </row>
    <row r="8" spans="1:30" ht="48.9" customHeight="1">
      <c r="A8" s="13" t="str">
        <f>总课表!A8</f>
        <v>23学前教育4</v>
      </c>
      <c r="B8" s="12">
        <f>总课表!B8</f>
        <v>54</v>
      </c>
      <c r="C8" s="14" t="str">
        <f>IF(ISERROR(IF(FIND($K$1,总课表!C8)&gt;1,总课表!C8,"")),"",IF(FIND($K$1,总课表!C8)&gt;0,总课表!C8,""))</f>
        <v/>
      </c>
      <c r="D8" s="14" t="str">
        <f>IF(ISERROR(IF(FIND($K$1,总课表!D8)&gt;1,总课表!D8,"")),"",IF(FIND($K$1,总课表!D8)&gt;0,总课表!D8,""))</f>
        <v/>
      </c>
      <c r="E8" s="14" t="str">
        <f>IF(ISERROR(IF(FIND($K$1,总课表!E8)&gt;1,总课表!E8,"")),"",IF(FIND($K$1,总课表!E8)&gt;0,总课表!E8,""))</f>
        <v/>
      </c>
      <c r="F8" s="14" t="str">
        <f>IF(ISERROR(IF(FIND($K$1,总课表!F8)&gt;1,总课表!F8,"")),"",IF(FIND($K$1,总课表!F8)&gt;0,总课表!F8,""))</f>
        <v/>
      </c>
      <c r="G8" s="14" t="str">
        <f>IF(ISERROR(IF(FIND($K$1,总课表!G8)&gt;1,总课表!G8,"")),"",IF(FIND($K$1,总课表!G8)&gt;0,总课表!G8,""))</f>
        <v/>
      </c>
      <c r="H8" s="14" t="str">
        <f>IF(ISERROR(IF(FIND($K$1,总课表!H8)&gt;1,总课表!H8,"")),"",IF(FIND($K$1,总课表!H8)&gt;0,总课表!H8,""))</f>
        <v/>
      </c>
      <c r="I8" s="14" t="str">
        <f>IF(ISERROR(IF(FIND($K$1,总课表!I8)&gt;1,总课表!I8,"")),"",IF(FIND($K$1,总课表!I8)&gt;0,总课表!I8,""))</f>
        <v/>
      </c>
      <c r="J8" s="14" t="str">
        <f>IF(ISERROR(IF(FIND($K$1,总课表!J8)&gt;1,总课表!J8,"")),"",IF(FIND($K$1,总课表!J8)&gt;0,总课表!J8,""))</f>
        <v/>
      </c>
      <c r="K8" s="14" t="str">
        <f>IF(ISERROR(IF(FIND($K$1,总课表!K8)&gt;1,总课表!K8,"")),"",IF(FIND($K$1,总课表!K8)&gt;0,总课表!K8,""))</f>
        <v/>
      </c>
      <c r="L8" s="14" t="str">
        <f>IF(ISERROR(IF(FIND($K$1,总课表!L8)&gt;1,总课表!L8,"")),"",IF(FIND($K$1,总课表!L8)&gt;0,总课表!L8,""))</f>
        <v/>
      </c>
      <c r="M8" s="14" t="str">
        <f>IF(ISERROR(IF(FIND($K$1,总课表!M8)&gt;1,总课表!M8,"")),"",IF(FIND($K$1,总课表!M8)&gt;0,总课表!M8,""))</f>
        <v/>
      </c>
      <c r="N8" s="14" t="str">
        <f>IF(ISERROR(IF(FIND($K$1,总课表!N8)&gt;1,总课表!N8,"")),"",IF(FIND($K$1,总课表!N8)&gt;0,总课表!N8,""))</f>
        <v/>
      </c>
      <c r="O8" s="14" t="str">
        <f>IF(ISERROR(IF(FIND($K$1,总课表!O8)&gt;1,总课表!O8,"")),"",IF(FIND($K$1,总课表!O8)&gt;0,总课表!O8,""))</f>
        <v/>
      </c>
      <c r="P8" s="14" t="str">
        <f>IF(ISERROR(IF(FIND($K$1,总课表!P8)&gt;1,总课表!P8,"")),"",IF(FIND($K$1,总课表!P8)&gt;0,总课表!P8,""))</f>
        <v/>
      </c>
      <c r="Q8" s="14" t="str">
        <f>IF(ISERROR(IF(FIND($K$1,总课表!Q8)&gt;1,总课表!Q8,"")),"",IF(FIND($K$1,总课表!Q8)&gt;0,总课表!Q8,""))</f>
        <v/>
      </c>
      <c r="R8" s="14" t="str">
        <f>IF(ISERROR(IF(FIND($K$1,总课表!R8)&gt;1,总课表!R8,"")),"",IF(FIND($K$1,总课表!R8)&gt;0,总课表!R8,""))</f>
        <v/>
      </c>
      <c r="S8" s="14" t="str">
        <f>IF(ISERROR(IF(FIND($K$1,总课表!S8)&gt;1,总课表!S8,"")),"",IF(FIND($K$1,总课表!S8)&gt;0,总课表!S8,""))</f>
        <v/>
      </c>
      <c r="T8" s="14" t="str">
        <f>IF(ISERROR(IF(FIND($K$1,总课表!T8)&gt;1,总课表!T8,"")),"",IF(FIND($K$1,总课表!T8)&gt;0,总课表!T8,""))</f>
        <v/>
      </c>
      <c r="U8" s="14" t="str">
        <f>IF(ISERROR(IF(FIND($K$1,总课表!U8)&gt;1,总课表!U8,"")),"",IF(FIND($K$1,总课表!U8)&gt;0,总课表!U8,""))</f>
        <v/>
      </c>
      <c r="V8" s="14" t="str">
        <f>IF(ISERROR(IF(FIND($K$1,总课表!V8)&gt;1,总课表!V8,"")),"",IF(FIND($K$1,总课表!V8)&gt;0,总课表!V8,""))</f>
        <v/>
      </c>
      <c r="W8" s="14" t="str">
        <f>IF(ISERROR(IF(FIND($K$1,总课表!W8)&gt;1,总课表!W8,"")),"",IF(FIND($K$1,总课表!W8)&gt;0,总课表!W8,""))</f>
        <v/>
      </c>
      <c r="X8" s="14" t="str">
        <f>IF(ISERROR(IF(FIND($K$1,总课表!X8)&gt;1,总课表!X8,"")),"",IF(FIND($K$1,总课表!X8)&gt;0,总课表!X8,""))</f>
        <v/>
      </c>
      <c r="Y8" s="14" t="str">
        <f>IF(ISERROR(IF(FIND($K$1,总课表!Y8)&gt;1,总课表!Y8,"")),"",IF(FIND($K$1,总课表!Y8)&gt;0,总课表!Y8,""))</f>
        <v/>
      </c>
      <c r="Z8" s="14" t="str">
        <f>IF(ISERROR(IF(FIND($K$1,总课表!Z8)&gt;1,总课表!Z8,"")),"",IF(FIND($K$1,总课表!Z8)&gt;0,总课表!Z8,""))</f>
        <v/>
      </c>
      <c r="AA8" s="14" t="str">
        <f>IF(ISERROR(IF(FIND($K$1,总课表!AA8)&gt;1,总课表!AA8,"")),"",IF(FIND($K$1,总课表!AA8)&gt;0,总课表!AA8,""))</f>
        <v/>
      </c>
      <c r="AB8" s="14" t="str">
        <f>IF(ISERROR(IF(FIND($K$1,总课表!AB8)&gt;1,总课表!AB8,"")),"",IF(FIND($K$1,总课表!AB8)&gt;0,总课表!AB8,""))</f>
        <v/>
      </c>
      <c r="AC8" s="14" t="str">
        <f>IF(ISERROR(IF(FIND($K$1,总课表!AC8)&gt;1,总课表!AC8,"")),"",IF(FIND($K$1,总课表!AC8)&gt;0,总课表!AC8,""))</f>
        <v/>
      </c>
    </row>
    <row r="9" spans="1:30" ht="48.9" customHeight="1">
      <c r="A9" s="13" t="str">
        <f>总课表!A9</f>
        <v>23工程测量技术</v>
      </c>
      <c r="B9" s="12">
        <f>总课表!B9</f>
        <v>67</v>
      </c>
      <c r="C9" s="14" t="str">
        <f>IF(ISERROR(IF(FIND($K$1,总课表!C9)&gt;1,总课表!C9,"")),"",IF(FIND($K$1,总课表!C9)&gt;0,总课表!C9,""))</f>
        <v/>
      </c>
      <c r="D9" s="14" t="str">
        <f>IF(ISERROR(IF(FIND($K$1,总课表!D9)&gt;1,总课表!D9,"")),"",IF(FIND($K$1,总课表!D9)&gt;0,总课表!D9,""))</f>
        <v/>
      </c>
      <c r="E9" s="14" t="str">
        <f>IF(ISERROR(IF(FIND($K$1,总课表!E9)&gt;1,总课表!E9,"")),"",IF(FIND($K$1,总课表!E9)&gt;0,总课表!E9,""))</f>
        <v/>
      </c>
      <c r="F9" s="14" t="str">
        <f>IF(ISERROR(IF(FIND($K$1,总课表!F9)&gt;1,总课表!F9,"")),"",IF(FIND($K$1,总课表!F9)&gt;0,总课表!F9,""))</f>
        <v/>
      </c>
      <c r="G9" s="14" t="str">
        <f>IF(ISERROR(IF(FIND($K$1,总课表!G9)&gt;1,总课表!G9,"")),"",IF(FIND($K$1,总课表!G9)&gt;0,总课表!G9,""))</f>
        <v/>
      </c>
      <c r="H9" s="14" t="str">
        <f>IF(ISERROR(IF(FIND($K$1,总课表!H9)&gt;1,总课表!H9,"")),"",IF(FIND($K$1,总课表!H9)&gt;0,总课表!H9,""))</f>
        <v/>
      </c>
      <c r="I9" s="14" t="str">
        <f>IF(ISERROR(IF(FIND($K$1,总课表!I9)&gt;1,总课表!I9,"")),"",IF(FIND($K$1,总课表!I9)&gt;0,总课表!I9,""))</f>
        <v/>
      </c>
      <c r="J9" s="14" t="str">
        <f>IF(ISERROR(IF(FIND($K$1,总课表!J9)&gt;1,总课表!J9,"")),"",IF(FIND($K$1,总课表!J9)&gt;0,总课表!J9,""))</f>
        <v/>
      </c>
      <c r="K9" s="14" t="str">
        <f>IF(ISERROR(IF(FIND($K$1,总课表!K9)&gt;1,总课表!K9,"")),"",IF(FIND($K$1,总课表!K9)&gt;0,总课表!K9,""))</f>
        <v/>
      </c>
      <c r="L9" s="14" t="str">
        <f>IF(ISERROR(IF(FIND($K$1,总课表!L9)&gt;1,总课表!L9,"")),"",IF(FIND($K$1,总课表!L9)&gt;0,总课表!L9,""))</f>
        <v/>
      </c>
      <c r="M9" s="14" t="str">
        <f>IF(ISERROR(IF(FIND($K$1,总课表!M9)&gt;1,总课表!M9,"")),"",IF(FIND($K$1,总课表!M9)&gt;0,总课表!M9,""))</f>
        <v/>
      </c>
      <c r="N9" s="14" t="str">
        <f>IF(ISERROR(IF(FIND($K$1,总课表!N9)&gt;1,总课表!N9,"")),"",IF(FIND($K$1,总课表!N9)&gt;0,总课表!N9,""))</f>
        <v>形势与政策
潘威全
践行楼202</v>
      </c>
      <c r="O9" s="14" t="str">
        <f>IF(ISERROR(IF(FIND($K$1,总课表!O9)&gt;1,总课表!O9,"")),"",IF(FIND($K$1,总课表!O9)&gt;0,总课表!O9,""))</f>
        <v/>
      </c>
      <c r="P9" s="14" t="str">
        <f>IF(ISERROR(IF(FIND($K$1,总课表!P9)&gt;1,总课表!P9,"")),"",IF(FIND($K$1,总课表!P9)&gt;0,总课表!P9,""))</f>
        <v/>
      </c>
      <c r="Q9" s="14" t="str">
        <f>IF(ISERROR(IF(FIND($K$1,总课表!Q9)&gt;1,总课表!Q9,"")),"",IF(FIND($K$1,总课表!Q9)&gt;0,总课表!Q9,""))</f>
        <v/>
      </c>
      <c r="R9" s="14" t="str">
        <f>IF(ISERROR(IF(FIND($K$1,总课表!R9)&gt;1,总课表!R9,"")),"",IF(FIND($K$1,总课表!R9)&gt;0,总课表!R9,""))</f>
        <v/>
      </c>
      <c r="S9" s="14" t="str">
        <f>IF(ISERROR(IF(FIND($K$1,总课表!S9)&gt;1,总课表!S9,"")),"",IF(FIND($K$1,总课表!S9)&gt;0,总课表!S9,""))</f>
        <v/>
      </c>
      <c r="T9" s="14" t="str">
        <f>IF(ISERROR(IF(FIND($K$1,总课表!T9)&gt;1,总课表!T9,"")),"",IF(FIND($K$1,总课表!T9)&gt;0,总课表!T9,""))</f>
        <v/>
      </c>
      <c r="U9" s="14" t="str">
        <f>IF(ISERROR(IF(FIND($K$1,总课表!U9)&gt;1,总课表!U9,"")),"",IF(FIND($K$1,总课表!U9)&gt;0,总课表!U9,""))</f>
        <v/>
      </c>
      <c r="V9" s="14" t="str">
        <f>IF(ISERROR(IF(FIND($K$1,总课表!V9)&gt;1,总课表!V9,"")),"",IF(FIND($K$1,总课表!V9)&gt;0,总课表!V9,""))</f>
        <v/>
      </c>
      <c r="W9" s="14" t="str">
        <f>IF(ISERROR(IF(FIND($K$1,总课表!W9)&gt;1,总课表!W9,"")),"",IF(FIND($K$1,总课表!W9)&gt;0,总课表!W9,""))</f>
        <v/>
      </c>
      <c r="X9" s="14" t="str">
        <f>IF(ISERROR(IF(FIND($K$1,总课表!X9)&gt;1,总课表!X9,"")),"",IF(FIND($K$1,总课表!X9)&gt;0,总课表!X9,""))</f>
        <v/>
      </c>
      <c r="Y9" s="14" t="str">
        <f>IF(ISERROR(IF(FIND($K$1,总课表!Y9)&gt;1,总课表!Y9,"")),"",IF(FIND($K$1,总课表!Y9)&gt;0,总课表!Y9,""))</f>
        <v/>
      </c>
      <c r="Z9" s="14" t="str">
        <f>IF(ISERROR(IF(FIND($K$1,总课表!Z9)&gt;1,总课表!Z9,"")),"",IF(FIND($K$1,总课表!Z9)&gt;0,总课表!Z9,""))</f>
        <v/>
      </c>
      <c r="AA9" s="14" t="str">
        <f>IF(ISERROR(IF(FIND($K$1,总课表!AA9)&gt;1,总课表!AA9,"")),"",IF(FIND($K$1,总课表!AA9)&gt;0,总课表!AA9,""))</f>
        <v/>
      </c>
      <c r="AB9" s="14" t="str">
        <f>IF(ISERROR(IF(FIND($K$1,总课表!AB9)&gt;1,总课表!AB9,"")),"",IF(FIND($K$1,总课表!AB9)&gt;0,总课表!AB9,""))</f>
        <v/>
      </c>
      <c r="AC9" s="14" t="str">
        <f>IF(ISERROR(IF(FIND($K$1,总课表!AC9)&gt;1,总课表!AC9,"")),"",IF(FIND($K$1,总课表!AC9)&gt;0,总课表!AC9,""))</f>
        <v/>
      </c>
    </row>
    <row r="10" spans="1:30" ht="48.9" customHeight="1">
      <c r="A10" s="13" t="str">
        <f>总课表!A10</f>
        <v>23建设工程管理</v>
      </c>
      <c r="B10" s="12">
        <f>总课表!B10</f>
        <v>45</v>
      </c>
      <c r="C10" s="14" t="str">
        <f>IF(ISERROR(IF(FIND($K$1,总课表!C10)&gt;1,总课表!C10,"")),"",IF(FIND($K$1,总课表!C10)&gt;0,总课表!C10,""))</f>
        <v/>
      </c>
      <c r="D10" s="14" t="str">
        <f>IF(ISERROR(IF(FIND($K$1,总课表!D10)&gt;1,总课表!D10,"")),"",IF(FIND($K$1,总课表!D10)&gt;0,总课表!D10,""))</f>
        <v/>
      </c>
      <c r="E10" s="14" t="str">
        <f>IF(ISERROR(IF(FIND($K$1,总课表!E10)&gt;1,总课表!E10,"")),"",IF(FIND($K$1,总课表!E10)&gt;0,总课表!E10,""))</f>
        <v/>
      </c>
      <c r="F10" s="14" t="str">
        <f>IF(ISERROR(IF(FIND($K$1,总课表!F10)&gt;1,总课表!F10,"")),"",IF(FIND($K$1,总课表!F10)&gt;0,总课表!F10,""))</f>
        <v/>
      </c>
      <c r="G10" s="14" t="str">
        <f>IF(ISERROR(IF(FIND($K$1,总课表!G10)&gt;1,总课表!G10,"")),"",IF(FIND($K$1,总课表!G10)&gt;0,总课表!G10,""))</f>
        <v/>
      </c>
      <c r="H10" s="14" t="str">
        <f>IF(ISERROR(IF(FIND($K$1,总课表!H10)&gt;1,总课表!H10,"")),"",IF(FIND($K$1,总课表!H10)&gt;0,总课表!H10,""))</f>
        <v/>
      </c>
      <c r="I10" s="14" t="str">
        <f>IF(ISERROR(IF(FIND($K$1,总课表!I10)&gt;1,总课表!I10,"")),"",IF(FIND($K$1,总课表!I10)&gt;0,总课表!I10,""))</f>
        <v/>
      </c>
      <c r="J10" s="14" t="str">
        <f>IF(ISERROR(IF(FIND($K$1,总课表!J10)&gt;1,总课表!J10,"")),"",IF(FIND($K$1,总课表!J10)&gt;0,总课表!J10,""))</f>
        <v/>
      </c>
      <c r="K10" s="14" t="str">
        <f>IF(ISERROR(IF(FIND($K$1,总课表!K10)&gt;1,总课表!K10,"")),"",IF(FIND($K$1,总课表!K10)&gt;0,总课表!K10,""))</f>
        <v/>
      </c>
      <c r="L10" s="14" t="str">
        <f>IF(ISERROR(IF(FIND($K$1,总课表!L10)&gt;1,总课表!L10,"")),"",IF(FIND($K$1,总课表!L10)&gt;0,总课表!L10,""))</f>
        <v/>
      </c>
      <c r="M10" s="14" t="str">
        <f>IF(ISERROR(IF(FIND($K$1,总课表!M10)&gt;1,总课表!M10,"")),"",IF(FIND($K$1,总课表!M10)&gt;0,总课表!M10,""))</f>
        <v/>
      </c>
      <c r="N10" s="14" t="str">
        <f>IF(ISERROR(IF(FIND($K$1,总课表!N10)&gt;1,总课表!N10,"")),"",IF(FIND($K$1,总课表!N10)&gt;0,总课表!N10,""))</f>
        <v/>
      </c>
      <c r="O10" s="14" t="str">
        <f>IF(ISERROR(IF(FIND($K$1,总课表!O10)&gt;1,总课表!O10,"")),"",IF(FIND($K$1,总课表!O10)&gt;0,总课表!O10,""))</f>
        <v/>
      </c>
      <c r="P10" s="14" t="str">
        <f>IF(ISERROR(IF(FIND($K$1,总课表!P10)&gt;1,总课表!P10,"")),"",IF(FIND($K$1,总课表!P10)&gt;0,总课表!P10,""))</f>
        <v/>
      </c>
      <c r="Q10" s="14" t="str">
        <f>IF(ISERROR(IF(FIND($K$1,总课表!Q10)&gt;1,总课表!Q10,"")),"",IF(FIND($K$1,总课表!Q10)&gt;0,总课表!Q10,""))</f>
        <v/>
      </c>
      <c r="R10" s="14" t="str">
        <f>IF(ISERROR(IF(FIND($K$1,总课表!R10)&gt;1,总课表!R10,"")),"",IF(FIND($K$1,总课表!R10)&gt;0,总课表!R10,""))</f>
        <v/>
      </c>
      <c r="S10" s="14" t="str">
        <f>IF(ISERROR(IF(FIND($K$1,总课表!S10)&gt;1,总课表!S10,"")),"",IF(FIND($K$1,总课表!S10)&gt;0,总课表!S10,""))</f>
        <v/>
      </c>
      <c r="T10" s="14" t="str">
        <f>IF(ISERROR(IF(FIND($K$1,总课表!T10)&gt;1,总课表!T10,"")),"",IF(FIND($K$1,总课表!T10)&gt;0,总课表!T10,""))</f>
        <v/>
      </c>
      <c r="U10" s="14" t="str">
        <f>IF(ISERROR(IF(FIND($K$1,总课表!U10)&gt;1,总课表!U10,"")),"",IF(FIND($K$1,总课表!U10)&gt;0,总课表!U10,""))</f>
        <v>形势与政策
潘威全
践行楼104</v>
      </c>
      <c r="V10" s="14" t="str">
        <f>IF(ISERROR(IF(FIND($K$1,总课表!V10)&gt;1,总课表!V10,"")),"",IF(FIND($K$1,总课表!V10)&gt;0,总课表!V10,""))</f>
        <v/>
      </c>
      <c r="W10" s="14" t="str">
        <f>IF(ISERROR(IF(FIND($K$1,总课表!W10)&gt;1,总课表!W10,"")),"",IF(FIND($K$1,总课表!W10)&gt;0,总课表!W10,""))</f>
        <v/>
      </c>
      <c r="X10" s="14" t="str">
        <f>IF(ISERROR(IF(FIND($K$1,总课表!X10)&gt;1,总课表!X10,"")),"",IF(FIND($K$1,总课表!X10)&gt;0,总课表!X10,""))</f>
        <v/>
      </c>
      <c r="Y10" s="14" t="str">
        <f>IF(ISERROR(IF(FIND($K$1,总课表!Y10)&gt;1,总课表!Y10,"")),"",IF(FIND($K$1,总课表!Y10)&gt;0,总课表!Y10,""))</f>
        <v/>
      </c>
      <c r="Z10" s="14" t="str">
        <f>IF(ISERROR(IF(FIND($K$1,总课表!Z10)&gt;1,总课表!Z10,"")),"",IF(FIND($K$1,总课表!Z10)&gt;0,总课表!Z10,""))</f>
        <v/>
      </c>
      <c r="AA10" s="14" t="str">
        <f>IF(ISERROR(IF(FIND($K$1,总课表!AA10)&gt;1,总课表!AA10,"")),"",IF(FIND($K$1,总课表!AA10)&gt;0,总课表!AA10,""))</f>
        <v/>
      </c>
      <c r="AB10" s="14" t="str">
        <f>IF(ISERROR(IF(FIND($K$1,总课表!AB10)&gt;1,总课表!AB10,"")),"",IF(FIND($K$1,总课表!AB10)&gt;0,总课表!AB10,""))</f>
        <v/>
      </c>
      <c r="AC10" s="14" t="str">
        <f>IF(ISERROR(IF(FIND($K$1,总课表!AC10)&gt;1,总课表!AC10,"")),"",IF(FIND($K$1,总课表!AC10)&gt;0,总课表!AC10,""))</f>
        <v/>
      </c>
    </row>
    <row r="11" spans="1:30" ht="48.9" customHeight="1">
      <c r="A11" s="13" t="str">
        <f>总课表!A11</f>
        <v>23建筑工程技术1</v>
      </c>
      <c r="B11" s="12">
        <f>总课表!B11</f>
        <v>50</v>
      </c>
      <c r="C11" s="14" t="str">
        <f>IF(ISERROR(IF(FIND($K$1,总课表!C11)&gt;1,总课表!C11,"")),"",IF(FIND($K$1,总课表!C11)&gt;0,总课表!C11,""))</f>
        <v/>
      </c>
      <c r="D11" s="14" t="str">
        <f>IF(ISERROR(IF(FIND($K$1,总课表!D11)&gt;1,总课表!D11,"")),"",IF(FIND($K$1,总课表!D11)&gt;0,总课表!D11,""))</f>
        <v/>
      </c>
      <c r="E11" s="14" t="str">
        <f>IF(ISERROR(IF(FIND($K$1,总课表!E11)&gt;1,总课表!E11,"")),"",IF(FIND($K$1,总课表!E11)&gt;0,总课表!E11,""))</f>
        <v/>
      </c>
      <c r="F11" s="14" t="str">
        <f>IF(ISERROR(IF(FIND($K$1,总课表!F11)&gt;1,总课表!F11,"")),"",IF(FIND($K$1,总课表!F11)&gt;0,总课表!F11,""))</f>
        <v/>
      </c>
      <c r="G11" s="14" t="str">
        <f>IF(ISERROR(IF(FIND($K$1,总课表!G11)&gt;1,总课表!G11,"")),"",IF(FIND($K$1,总课表!G11)&gt;0,总课表!G11,""))</f>
        <v/>
      </c>
      <c r="H11" s="14" t="str">
        <f>IF(ISERROR(IF(FIND($K$1,总课表!H11)&gt;1,总课表!H11,"")),"",IF(FIND($K$1,总课表!H11)&gt;0,总课表!H11,""))</f>
        <v/>
      </c>
      <c r="I11" s="14" t="str">
        <f>IF(ISERROR(IF(FIND($K$1,总课表!I11)&gt;1,总课表!I11,"")),"",IF(FIND($K$1,总课表!I11)&gt;0,总课表!I11,""))</f>
        <v/>
      </c>
      <c r="J11" s="14" t="str">
        <f>IF(ISERROR(IF(FIND($K$1,总课表!J11)&gt;1,总课表!J11,"")),"",IF(FIND($K$1,总课表!J11)&gt;0,总课表!J11,""))</f>
        <v/>
      </c>
      <c r="K11" s="14" t="str">
        <f>IF(ISERROR(IF(FIND($K$1,总课表!K11)&gt;1,总课表!K11,"")),"",IF(FIND($K$1,总课表!K11)&gt;0,总课表!K11,""))</f>
        <v/>
      </c>
      <c r="L11" s="14" t="str">
        <f>IF(ISERROR(IF(FIND($K$1,总课表!L11)&gt;1,总课表!L11,"")),"",IF(FIND($K$1,总课表!L11)&gt;0,总课表!L11,""))</f>
        <v/>
      </c>
      <c r="M11" s="14" t="str">
        <f>IF(ISERROR(IF(FIND($K$1,总课表!M11)&gt;1,总课表!M11,"")),"",IF(FIND($K$1,总课表!M11)&gt;0,总课表!M11,""))</f>
        <v/>
      </c>
      <c r="N11" s="14" t="str">
        <f>IF(ISERROR(IF(FIND($K$1,总课表!N11)&gt;1,总课表!N11,"")),"",IF(FIND($K$1,总课表!N11)&gt;0,总课表!N11,""))</f>
        <v/>
      </c>
      <c r="O11" s="14" t="str">
        <f>IF(ISERROR(IF(FIND($K$1,总课表!O11)&gt;1,总课表!O11,"")),"",IF(FIND($K$1,总课表!O11)&gt;0,总课表!O11,""))</f>
        <v/>
      </c>
      <c r="P11" s="14" t="str">
        <f>IF(ISERROR(IF(FIND($K$1,总课表!P11)&gt;1,总课表!P11,"")),"",IF(FIND($K$1,总课表!P11)&gt;0,总课表!P11,""))</f>
        <v/>
      </c>
      <c r="Q11" s="14" t="str">
        <f>IF(ISERROR(IF(FIND($K$1,总课表!Q11)&gt;1,总课表!Q11,"")),"",IF(FIND($K$1,总课表!Q11)&gt;0,总课表!Q11,""))</f>
        <v/>
      </c>
      <c r="R11" s="14" t="str">
        <f>IF(ISERROR(IF(FIND($K$1,总课表!R11)&gt;1,总课表!R11,"")),"",IF(FIND($K$1,总课表!R11)&gt;0,总课表!R11,""))</f>
        <v/>
      </c>
      <c r="S11" s="14" t="str">
        <f>IF(ISERROR(IF(FIND($K$1,总课表!S11)&gt;1,总课表!S11,"")),"",IF(FIND($K$1,总课表!S11)&gt;0,总课表!S11,""))</f>
        <v/>
      </c>
      <c r="T11" s="14" t="str">
        <f>IF(ISERROR(IF(FIND($K$1,总课表!T11)&gt;1,总课表!T11,"")),"",IF(FIND($K$1,总课表!T11)&gt;0,总课表!T11,""))</f>
        <v/>
      </c>
      <c r="U11" s="14" t="str">
        <f>IF(ISERROR(IF(FIND($K$1,总课表!U11)&gt;1,总课表!U11,"")),"",IF(FIND($K$1,总课表!U11)&gt;0,总课表!U11,""))</f>
        <v>形势与政策
潘威全
践行楼104</v>
      </c>
      <c r="V11" s="14" t="str">
        <f>IF(ISERROR(IF(FIND($K$1,总课表!V11)&gt;1,总课表!V11,"")),"",IF(FIND($K$1,总课表!V11)&gt;0,总课表!V11,""))</f>
        <v/>
      </c>
      <c r="W11" s="14" t="str">
        <f>IF(ISERROR(IF(FIND($K$1,总课表!W11)&gt;1,总课表!W11,"")),"",IF(FIND($K$1,总课表!W11)&gt;0,总课表!W11,""))</f>
        <v/>
      </c>
      <c r="X11" s="14" t="str">
        <f>IF(ISERROR(IF(FIND($K$1,总课表!X11)&gt;1,总课表!X11,"")),"",IF(FIND($K$1,总课表!X11)&gt;0,总课表!X11,""))</f>
        <v/>
      </c>
      <c r="Y11" s="14" t="str">
        <f>IF(ISERROR(IF(FIND($K$1,总课表!Y11)&gt;1,总课表!Y11,"")),"",IF(FIND($K$1,总课表!Y11)&gt;0,总课表!Y11,""))</f>
        <v/>
      </c>
      <c r="Z11" s="14" t="str">
        <f>IF(ISERROR(IF(FIND($K$1,总课表!Z11)&gt;1,总课表!Z11,"")),"",IF(FIND($K$1,总课表!Z11)&gt;0,总课表!Z11,""))</f>
        <v/>
      </c>
      <c r="AA11" s="14" t="str">
        <f>IF(ISERROR(IF(FIND($K$1,总课表!AA11)&gt;1,总课表!AA11,"")),"",IF(FIND($K$1,总课表!AA11)&gt;0,总课表!AA11,""))</f>
        <v/>
      </c>
      <c r="AB11" s="14" t="str">
        <f>IF(ISERROR(IF(FIND($K$1,总课表!AB11)&gt;1,总课表!AB11,"")),"",IF(FIND($K$1,总课表!AB11)&gt;0,总课表!AB11,""))</f>
        <v/>
      </c>
      <c r="AC11" s="14" t="str">
        <f>IF(ISERROR(IF(FIND($K$1,总课表!AC11)&gt;1,总课表!AC11,"")),"",IF(FIND($K$1,总课表!AC11)&gt;0,总课表!AC11,""))</f>
        <v/>
      </c>
    </row>
    <row r="12" spans="1:30" ht="48.9" customHeight="1">
      <c r="A12" s="13" t="str">
        <f>总课表!A12</f>
        <v>23建筑工程技术2</v>
      </c>
      <c r="B12" s="12">
        <f>总课表!B12</f>
        <v>45</v>
      </c>
      <c r="C12" s="14" t="str">
        <f>IF(ISERROR(IF(FIND($K$1,总课表!C12)&gt;1,总课表!C12,"")),"",IF(FIND($K$1,总课表!C12)&gt;0,总课表!C12,""))</f>
        <v/>
      </c>
      <c r="D12" s="14" t="str">
        <f>IF(ISERROR(IF(FIND($K$1,总课表!D12)&gt;1,总课表!D12,"")),"",IF(FIND($K$1,总课表!D12)&gt;0,总课表!D12,""))</f>
        <v/>
      </c>
      <c r="E12" s="14" t="str">
        <f>IF(ISERROR(IF(FIND($K$1,总课表!E12)&gt;1,总课表!E12,"")),"",IF(FIND($K$1,总课表!E12)&gt;0,总课表!E12,""))</f>
        <v/>
      </c>
      <c r="F12" s="14" t="str">
        <f>IF(ISERROR(IF(FIND($K$1,总课表!F12)&gt;1,总课表!F12,"")),"",IF(FIND($K$1,总课表!F12)&gt;0,总课表!F12,""))</f>
        <v/>
      </c>
      <c r="G12" s="14" t="str">
        <f>IF(ISERROR(IF(FIND($K$1,总课表!G12)&gt;1,总课表!G12,"")),"",IF(FIND($K$1,总课表!G12)&gt;0,总课表!G12,""))</f>
        <v/>
      </c>
      <c r="H12" s="14" t="str">
        <f>IF(ISERROR(IF(FIND($K$1,总课表!H12)&gt;1,总课表!H12,"")),"",IF(FIND($K$1,总课表!H12)&gt;0,总课表!H12,""))</f>
        <v/>
      </c>
      <c r="I12" s="14" t="str">
        <f>IF(ISERROR(IF(FIND($K$1,总课表!I12)&gt;1,总课表!I12,"")),"",IF(FIND($K$1,总课表!I12)&gt;0,总课表!I12,""))</f>
        <v/>
      </c>
      <c r="J12" s="14" t="str">
        <f>IF(ISERROR(IF(FIND($K$1,总课表!J12)&gt;1,总课表!J12,"")),"",IF(FIND($K$1,总课表!J12)&gt;0,总课表!J12,""))</f>
        <v/>
      </c>
      <c r="K12" s="14" t="str">
        <f>IF(ISERROR(IF(FIND($K$1,总课表!K12)&gt;1,总课表!K12,"")),"",IF(FIND($K$1,总课表!K12)&gt;0,总课表!K12,""))</f>
        <v/>
      </c>
      <c r="L12" s="14" t="str">
        <f>IF(ISERROR(IF(FIND($K$1,总课表!L12)&gt;1,总课表!L12,"")),"",IF(FIND($K$1,总课表!L12)&gt;0,总课表!L12,""))</f>
        <v/>
      </c>
      <c r="M12" s="14" t="str">
        <f>IF(ISERROR(IF(FIND($K$1,总课表!M12)&gt;1,总课表!M12,"")),"",IF(FIND($K$1,总课表!M12)&gt;0,总课表!M12,""))</f>
        <v/>
      </c>
      <c r="N12" s="14" t="str">
        <f>IF(ISERROR(IF(FIND($K$1,总课表!N12)&gt;1,总课表!N12,"")),"",IF(FIND($K$1,总课表!N12)&gt;0,总课表!N12,""))</f>
        <v/>
      </c>
      <c r="O12" s="14" t="str">
        <f>IF(ISERROR(IF(FIND($K$1,总课表!O12)&gt;1,总课表!O12,"")),"",IF(FIND($K$1,总课表!O12)&gt;0,总课表!O12,""))</f>
        <v/>
      </c>
      <c r="P12" s="14" t="str">
        <f>IF(ISERROR(IF(FIND($K$1,总课表!P12)&gt;1,总课表!P12,"")),"",IF(FIND($K$1,总课表!P12)&gt;0,总课表!P12,""))</f>
        <v/>
      </c>
      <c r="Q12" s="14" t="str">
        <f>IF(ISERROR(IF(FIND($K$1,总课表!Q12)&gt;1,总课表!Q12,"")),"",IF(FIND($K$1,总课表!Q12)&gt;0,总课表!Q12,""))</f>
        <v>形势与政策
潘威全
践行楼103</v>
      </c>
      <c r="R12" s="14" t="str">
        <f>IF(ISERROR(IF(FIND($K$1,总课表!R12)&gt;1,总课表!R12,"")),"",IF(FIND($K$1,总课表!R12)&gt;0,总课表!R12,""))</f>
        <v/>
      </c>
      <c r="S12" s="14" t="str">
        <f>IF(ISERROR(IF(FIND($K$1,总课表!S12)&gt;1,总课表!S12,"")),"",IF(FIND($K$1,总课表!S12)&gt;0,总课表!S12,""))</f>
        <v/>
      </c>
      <c r="T12" s="14" t="str">
        <f>IF(ISERROR(IF(FIND($K$1,总课表!T12)&gt;1,总课表!T12,"")),"",IF(FIND($K$1,总课表!T12)&gt;0,总课表!T12,""))</f>
        <v/>
      </c>
      <c r="U12" s="14" t="str">
        <f>IF(ISERROR(IF(FIND($K$1,总课表!U12)&gt;1,总课表!U12,"")),"",IF(FIND($K$1,总课表!U12)&gt;0,总课表!U12,""))</f>
        <v/>
      </c>
      <c r="V12" s="14" t="str">
        <f>IF(ISERROR(IF(FIND($K$1,总课表!V12)&gt;1,总课表!V12,"")),"",IF(FIND($K$1,总课表!V12)&gt;0,总课表!V12,""))</f>
        <v/>
      </c>
      <c r="W12" s="14" t="str">
        <f>IF(ISERROR(IF(FIND($K$1,总课表!W12)&gt;1,总课表!W12,"")),"",IF(FIND($K$1,总课表!W12)&gt;0,总课表!W12,""))</f>
        <v/>
      </c>
      <c r="X12" s="14" t="str">
        <f>IF(ISERROR(IF(FIND($K$1,总课表!X12)&gt;1,总课表!X12,"")),"",IF(FIND($K$1,总课表!X12)&gt;0,总课表!X12,""))</f>
        <v/>
      </c>
      <c r="Y12" s="14" t="str">
        <f>IF(ISERROR(IF(FIND($K$1,总课表!Y12)&gt;1,总课表!Y12,"")),"",IF(FIND($K$1,总课表!Y12)&gt;0,总课表!Y12,""))</f>
        <v/>
      </c>
      <c r="Z12" s="14" t="str">
        <f>IF(ISERROR(IF(FIND($K$1,总课表!Z12)&gt;1,总课表!Z12,"")),"",IF(FIND($K$1,总课表!Z12)&gt;0,总课表!Z12,""))</f>
        <v/>
      </c>
      <c r="AA12" s="14" t="str">
        <f>IF(ISERROR(IF(FIND($K$1,总课表!AA12)&gt;1,总课表!AA12,"")),"",IF(FIND($K$1,总课表!AA12)&gt;0,总课表!AA12,""))</f>
        <v/>
      </c>
      <c r="AB12" s="14" t="str">
        <f>IF(ISERROR(IF(FIND($K$1,总课表!AB12)&gt;1,总课表!AB12,"")),"",IF(FIND($K$1,总课表!AB12)&gt;0,总课表!AB12,""))</f>
        <v/>
      </c>
      <c r="AC12" s="14" t="str">
        <f>IF(ISERROR(IF(FIND($K$1,总课表!AC12)&gt;1,总课表!AC12,"")),"",IF(FIND($K$1,总课表!AC12)&gt;0,总课表!AC12,""))</f>
        <v/>
      </c>
    </row>
    <row r="13" spans="1:30" ht="48.9" customHeight="1">
      <c r="A13" s="13" t="str">
        <f>总课表!A13</f>
        <v>23建筑工程技术3</v>
      </c>
      <c r="B13" s="12">
        <f>总课表!B13</f>
        <v>41</v>
      </c>
      <c r="C13" s="14" t="str">
        <f>IF(ISERROR(IF(FIND($K$1,总课表!C13)&gt;1,总课表!C13,"")),"",IF(FIND($K$1,总课表!C13)&gt;0,总课表!C13,""))</f>
        <v/>
      </c>
      <c r="D13" s="14" t="str">
        <f>IF(ISERROR(IF(FIND($K$1,总课表!D13)&gt;1,总课表!D13,"")),"",IF(FIND($K$1,总课表!D13)&gt;0,总课表!D13,""))</f>
        <v/>
      </c>
      <c r="E13" s="14" t="str">
        <f>IF(ISERROR(IF(FIND($K$1,总课表!E13)&gt;1,总课表!E13,"")),"",IF(FIND($K$1,总课表!E13)&gt;0,总课表!E13,""))</f>
        <v/>
      </c>
      <c r="F13" s="14" t="str">
        <f>IF(ISERROR(IF(FIND($K$1,总课表!F13)&gt;1,总课表!F13,"")),"",IF(FIND($K$1,总课表!F13)&gt;0,总课表!F13,""))</f>
        <v/>
      </c>
      <c r="G13" s="14" t="str">
        <f>IF(ISERROR(IF(FIND($K$1,总课表!G13)&gt;1,总课表!G13,"")),"",IF(FIND($K$1,总课表!G13)&gt;0,总课表!G13,""))</f>
        <v/>
      </c>
      <c r="H13" s="14" t="str">
        <f>IF(ISERROR(IF(FIND($K$1,总课表!H13)&gt;1,总课表!H13,"")),"",IF(FIND($K$1,总课表!H13)&gt;0,总课表!H13,""))</f>
        <v/>
      </c>
      <c r="I13" s="14" t="str">
        <f>IF(ISERROR(IF(FIND($K$1,总课表!I13)&gt;1,总课表!I13,"")),"",IF(FIND($K$1,总课表!I13)&gt;0,总课表!I13,""))</f>
        <v/>
      </c>
      <c r="J13" s="14" t="str">
        <f>IF(ISERROR(IF(FIND($K$1,总课表!J13)&gt;1,总课表!J13,"")),"",IF(FIND($K$1,总课表!J13)&gt;0,总课表!J13,""))</f>
        <v/>
      </c>
      <c r="K13" s="14" t="str">
        <f>IF(ISERROR(IF(FIND($K$1,总课表!K13)&gt;1,总课表!K13,"")),"",IF(FIND($K$1,总课表!K13)&gt;0,总课表!K13,""))</f>
        <v/>
      </c>
      <c r="L13" s="14" t="str">
        <f>IF(ISERROR(IF(FIND($K$1,总课表!L13)&gt;1,总课表!L13,"")),"",IF(FIND($K$1,总课表!L13)&gt;0,总课表!L13,""))</f>
        <v/>
      </c>
      <c r="M13" s="14" t="str">
        <f>IF(ISERROR(IF(FIND($K$1,总课表!M13)&gt;1,总课表!M13,"")),"",IF(FIND($K$1,总课表!M13)&gt;0,总课表!M13,""))</f>
        <v/>
      </c>
      <c r="N13" s="14" t="str">
        <f>IF(ISERROR(IF(FIND($K$1,总课表!N13)&gt;1,总课表!N13,"")),"",IF(FIND($K$1,总课表!N13)&gt;0,总课表!N13,""))</f>
        <v/>
      </c>
      <c r="O13" s="14" t="str">
        <f>IF(ISERROR(IF(FIND($K$1,总课表!O13)&gt;1,总课表!O13,"")),"",IF(FIND($K$1,总课表!O13)&gt;0,总课表!O13,""))</f>
        <v/>
      </c>
      <c r="P13" s="14" t="str">
        <f>IF(ISERROR(IF(FIND($K$1,总课表!P13)&gt;1,总课表!P13,"")),"",IF(FIND($K$1,总课表!P13)&gt;0,总课表!P13,""))</f>
        <v/>
      </c>
      <c r="Q13" s="14" t="str">
        <f>IF(ISERROR(IF(FIND($K$1,总课表!Q13)&gt;1,总课表!Q13,"")),"",IF(FIND($K$1,总课表!Q13)&gt;0,总课表!Q13,""))</f>
        <v>形势与政策
潘威全
践行楼103</v>
      </c>
      <c r="R13" s="14" t="str">
        <f>IF(ISERROR(IF(FIND($K$1,总课表!R13)&gt;1,总课表!R13,"")),"",IF(FIND($K$1,总课表!R13)&gt;0,总课表!R13,""))</f>
        <v/>
      </c>
      <c r="S13" s="14" t="str">
        <f>IF(ISERROR(IF(FIND($K$1,总课表!S13)&gt;1,总课表!S13,"")),"",IF(FIND($K$1,总课表!S13)&gt;0,总课表!S13,""))</f>
        <v/>
      </c>
      <c r="T13" s="14" t="str">
        <f>IF(ISERROR(IF(FIND($K$1,总课表!T13)&gt;1,总课表!T13,"")),"",IF(FIND($K$1,总课表!T13)&gt;0,总课表!T13,""))</f>
        <v/>
      </c>
      <c r="U13" s="14" t="str">
        <f>IF(ISERROR(IF(FIND($K$1,总课表!U13)&gt;1,总课表!U13,"")),"",IF(FIND($K$1,总课表!U13)&gt;0,总课表!U13,""))</f>
        <v/>
      </c>
      <c r="V13" s="14" t="str">
        <f>IF(ISERROR(IF(FIND($K$1,总课表!V13)&gt;1,总课表!V13,"")),"",IF(FIND($K$1,总课表!V13)&gt;0,总课表!V13,""))</f>
        <v/>
      </c>
      <c r="W13" s="14" t="str">
        <f>IF(ISERROR(IF(FIND($K$1,总课表!W13)&gt;1,总课表!W13,"")),"",IF(FIND($K$1,总课表!W13)&gt;0,总课表!W13,""))</f>
        <v/>
      </c>
      <c r="X13" s="14" t="str">
        <f>IF(ISERROR(IF(FIND($K$1,总课表!X13)&gt;1,总课表!X13,"")),"",IF(FIND($K$1,总课表!X13)&gt;0,总课表!X13,""))</f>
        <v/>
      </c>
      <c r="Y13" s="14" t="str">
        <f>IF(ISERROR(IF(FIND($K$1,总课表!Y13)&gt;1,总课表!Y13,"")),"",IF(FIND($K$1,总课表!Y13)&gt;0,总课表!Y13,""))</f>
        <v/>
      </c>
      <c r="Z13" s="14" t="str">
        <f>IF(ISERROR(IF(FIND($K$1,总课表!Z13)&gt;1,总课表!Z13,"")),"",IF(FIND($K$1,总课表!Z13)&gt;0,总课表!Z13,""))</f>
        <v/>
      </c>
      <c r="AA13" s="14" t="str">
        <f>IF(ISERROR(IF(FIND($K$1,总课表!AA13)&gt;1,总课表!AA13,"")),"",IF(FIND($K$1,总课表!AA13)&gt;0,总课表!AA13,""))</f>
        <v/>
      </c>
      <c r="AB13" s="14" t="str">
        <f>IF(ISERROR(IF(FIND($K$1,总课表!AB13)&gt;1,总课表!AB13,"")),"",IF(FIND($K$1,总课表!AB13)&gt;0,总课表!AB13,""))</f>
        <v/>
      </c>
      <c r="AC13" s="14" t="str">
        <f>IF(ISERROR(IF(FIND($K$1,总课表!AC13)&gt;1,总课表!AC13,"")),"",IF(FIND($K$1,总课表!AC13)&gt;0,总课表!AC13,""))</f>
        <v/>
      </c>
    </row>
    <row r="14" spans="1:30" ht="48.9" customHeight="1">
      <c r="A14" s="13" t="str">
        <f>总课表!A14</f>
        <v>23建筑室内设计1</v>
      </c>
      <c r="B14" s="12">
        <f>总课表!B14</f>
        <v>52</v>
      </c>
      <c r="C14" s="14" t="str">
        <f>IF(ISERROR(IF(FIND($K$1,总课表!C14)&gt;1,总课表!C14,"")),"",IF(FIND($K$1,总课表!C14)&gt;0,总课表!C14,""))</f>
        <v/>
      </c>
      <c r="D14" s="14" t="str">
        <f>IF(ISERROR(IF(FIND($K$1,总课表!D14)&gt;1,总课表!D14,"")),"",IF(FIND($K$1,总课表!D14)&gt;0,总课表!D14,""))</f>
        <v/>
      </c>
      <c r="E14" s="14" t="str">
        <f>IF(ISERROR(IF(FIND($K$1,总课表!E14)&gt;1,总课表!E14,"")),"",IF(FIND($K$1,总课表!E14)&gt;0,总课表!E14,""))</f>
        <v/>
      </c>
      <c r="F14" s="14" t="str">
        <f>IF(ISERROR(IF(FIND($K$1,总课表!F14)&gt;1,总课表!F14,"")),"",IF(FIND($K$1,总课表!F14)&gt;0,总课表!F14,""))</f>
        <v/>
      </c>
      <c r="G14" s="14" t="str">
        <f>IF(ISERROR(IF(FIND($K$1,总课表!G14)&gt;1,总课表!G14,"")),"",IF(FIND($K$1,总课表!G14)&gt;0,总课表!G14,""))</f>
        <v/>
      </c>
      <c r="H14" s="14" t="str">
        <f>IF(ISERROR(IF(FIND($K$1,总课表!H14)&gt;1,总课表!H14,"")),"",IF(FIND($K$1,总课表!H14)&gt;0,总课表!H14,""))</f>
        <v/>
      </c>
      <c r="I14" s="14" t="str">
        <f>IF(ISERROR(IF(FIND($K$1,总课表!I14)&gt;1,总课表!I14,"")),"",IF(FIND($K$1,总课表!I14)&gt;0,总课表!I14,""))</f>
        <v/>
      </c>
      <c r="J14" s="14" t="str">
        <f>IF(ISERROR(IF(FIND($K$1,总课表!J14)&gt;1,总课表!J14,"")),"",IF(FIND($K$1,总课表!J14)&gt;0,总课表!J14,""))</f>
        <v/>
      </c>
      <c r="K14" s="14" t="str">
        <f>IF(ISERROR(IF(FIND($K$1,总课表!K14)&gt;1,总课表!K14,"")),"",IF(FIND($K$1,总课表!K14)&gt;0,总课表!K14,""))</f>
        <v/>
      </c>
      <c r="L14" s="14" t="str">
        <f>IF(ISERROR(IF(FIND($K$1,总课表!L14)&gt;1,总课表!L14,"")),"",IF(FIND($K$1,总课表!L14)&gt;0,总课表!L14,""))</f>
        <v/>
      </c>
      <c r="M14" s="14" t="str">
        <f>IF(ISERROR(IF(FIND($K$1,总课表!M14)&gt;1,总课表!M14,"")),"",IF(FIND($K$1,总课表!M14)&gt;0,总课表!M14,""))</f>
        <v/>
      </c>
      <c r="N14" s="14" t="str">
        <f>IF(ISERROR(IF(FIND($K$1,总课表!N14)&gt;1,总课表!N14,"")),"",IF(FIND($K$1,总课表!N14)&gt;0,总课表!N14,""))</f>
        <v/>
      </c>
      <c r="O14" s="14" t="str">
        <f>IF(ISERROR(IF(FIND($K$1,总课表!O14)&gt;1,总课表!O14,"")),"",IF(FIND($K$1,总课表!O14)&gt;0,总课表!O14,""))</f>
        <v/>
      </c>
      <c r="P14" s="14" t="str">
        <f>IF(ISERROR(IF(FIND($K$1,总课表!P14)&gt;1,总课表!P14,"")),"",IF(FIND($K$1,总课表!P14)&gt;0,总课表!P14,""))</f>
        <v>形势与政策
潘威全
践行楼104</v>
      </c>
      <c r="Q14" s="14" t="str">
        <f>IF(ISERROR(IF(FIND($K$1,总课表!Q14)&gt;1,总课表!Q14,"")),"",IF(FIND($K$1,总课表!Q14)&gt;0,总课表!Q14,""))</f>
        <v/>
      </c>
      <c r="R14" s="14" t="str">
        <f>IF(ISERROR(IF(FIND($K$1,总课表!R14)&gt;1,总课表!R14,"")),"",IF(FIND($K$1,总课表!R14)&gt;0,总课表!R14,""))</f>
        <v/>
      </c>
      <c r="S14" s="14" t="str">
        <f>IF(ISERROR(IF(FIND($K$1,总课表!S14)&gt;1,总课表!S14,"")),"",IF(FIND($K$1,总课表!S14)&gt;0,总课表!S14,""))</f>
        <v/>
      </c>
      <c r="T14" s="14" t="str">
        <f>IF(ISERROR(IF(FIND($K$1,总课表!T14)&gt;1,总课表!T14,"")),"",IF(FIND($K$1,总课表!T14)&gt;0,总课表!T14,""))</f>
        <v/>
      </c>
      <c r="U14" s="14" t="str">
        <f>IF(ISERROR(IF(FIND($K$1,总课表!U14)&gt;1,总课表!U14,"")),"",IF(FIND($K$1,总课表!U14)&gt;0,总课表!U14,""))</f>
        <v/>
      </c>
      <c r="V14" s="14" t="str">
        <f>IF(ISERROR(IF(FIND($K$1,总课表!V14)&gt;1,总课表!V14,"")),"",IF(FIND($K$1,总课表!V14)&gt;0,总课表!V14,""))</f>
        <v/>
      </c>
      <c r="W14" s="14" t="str">
        <f>IF(ISERROR(IF(FIND($K$1,总课表!W14)&gt;1,总课表!W14,"")),"",IF(FIND($K$1,总课表!W14)&gt;0,总课表!W14,""))</f>
        <v/>
      </c>
      <c r="X14" s="14" t="str">
        <f>IF(ISERROR(IF(FIND($K$1,总课表!X14)&gt;1,总课表!X14,"")),"",IF(FIND($K$1,总课表!X14)&gt;0,总课表!X14,""))</f>
        <v/>
      </c>
      <c r="Y14" s="14" t="str">
        <f>IF(ISERROR(IF(FIND($K$1,总课表!Y14)&gt;1,总课表!Y14,"")),"",IF(FIND($K$1,总课表!Y14)&gt;0,总课表!Y14,""))</f>
        <v/>
      </c>
      <c r="Z14" s="14" t="str">
        <f>IF(ISERROR(IF(FIND($K$1,总课表!Z14)&gt;1,总课表!Z14,"")),"",IF(FIND($K$1,总课表!Z14)&gt;0,总课表!Z14,""))</f>
        <v/>
      </c>
      <c r="AA14" s="14" t="str">
        <f>IF(ISERROR(IF(FIND($K$1,总课表!AA14)&gt;1,总课表!AA14,"")),"",IF(FIND($K$1,总课表!AA14)&gt;0,总课表!AA14,""))</f>
        <v/>
      </c>
      <c r="AB14" s="14" t="str">
        <f>IF(ISERROR(IF(FIND($K$1,总课表!AB14)&gt;1,总课表!AB14,"")),"",IF(FIND($K$1,总课表!AB14)&gt;0,总课表!AB14,""))</f>
        <v/>
      </c>
      <c r="AC14" s="14" t="str">
        <f>IF(ISERROR(IF(FIND($K$1,总课表!AC14)&gt;1,总课表!AC14,"")),"",IF(FIND($K$1,总课表!AC14)&gt;0,总课表!AC14,""))</f>
        <v/>
      </c>
    </row>
    <row r="15" spans="1:30" ht="48.9" customHeight="1">
      <c r="A15" s="13" t="str">
        <f>总课表!A15</f>
        <v>23建筑室内设计2</v>
      </c>
      <c r="B15" s="12">
        <f>总课表!B15</f>
        <v>51</v>
      </c>
      <c r="C15" s="14" t="str">
        <f>IF(ISERROR(IF(FIND($K$1,总课表!C15)&gt;1,总课表!C15,"")),"",IF(FIND($K$1,总课表!C15)&gt;0,总课表!C15,""))</f>
        <v/>
      </c>
      <c r="D15" s="14" t="str">
        <f>IF(ISERROR(IF(FIND($K$1,总课表!D15)&gt;1,总课表!D15,"")),"",IF(FIND($K$1,总课表!D15)&gt;0,总课表!D15,""))</f>
        <v/>
      </c>
      <c r="E15" s="14" t="str">
        <f>IF(ISERROR(IF(FIND($K$1,总课表!E15)&gt;1,总课表!E15,"")),"",IF(FIND($K$1,总课表!E15)&gt;0,总课表!E15,""))</f>
        <v/>
      </c>
      <c r="F15" s="14" t="str">
        <f>IF(ISERROR(IF(FIND($K$1,总课表!F15)&gt;1,总课表!F15,"")),"",IF(FIND($K$1,总课表!F15)&gt;0,总课表!F15,""))</f>
        <v/>
      </c>
      <c r="G15" s="14" t="str">
        <f>IF(ISERROR(IF(FIND($K$1,总课表!G15)&gt;1,总课表!G15,"")),"",IF(FIND($K$1,总课表!G15)&gt;0,总课表!G15,""))</f>
        <v/>
      </c>
      <c r="H15" s="14" t="str">
        <f>IF(ISERROR(IF(FIND($K$1,总课表!H15)&gt;1,总课表!H15,"")),"",IF(FIND($K$1,总课表!H15)&gt;0,总课表!H15,""))</f>
        <v/>
      </c>
      <c r="I15" s="14" t="str">
        <f>IF(ISERROR(IF(FIND($K$1,总课表!I15)&gt;1,总课表!I15,"")),"",IF(FIND($K$1,总课表!I15)&gt;0,总课表!I15,""))</f>
        <v/>
      </c>
      <c r="J15" s="14" t="str">
        <f>IF(ISERROR(IF(FIND($K$1,总课表!J15)&gt;1,总课表!J15,"")),"",IF(FIND($K$1,总课表!J15)&gt;0,总课表!J15,""))</f>
        <v/>
      </c>
      <c r="K15" s="14" t="str">
        <f>IF(ISERROR(IF(FIND($K$1,总课表!K15)&gt;1,总课表!K15,"")),"",IF(FIND($K$1,总课表!K15)&gt;0,总课表!K15,""))</f>
        <v/>
      </c>
      <c r="L15" s="14" t="str">
        <f>IF(ISERROR(IF(FIND($K$1,总课表!L15)&gt;1,总课表!L15,"")),"",IF(FIND($K$1,总课表!L15)&gt;0,总课表!L15,""))</f>
        <v/>
      </c>
      <c r="M15" s="14" t="str">
        <f>IF(ISERROR(IF(FIND($K$1,总课表!M15)&gt;1,总课表!M15,"")),"",IF(FIND($K$1,总课表!M15)&gt;0,总课表!M15,""))</f>
        <v/>
      </c>
      <c r="N15" s="14" t="str">
        <f>IF(ISERROR(IF(FIND($K$1,总课表!N15)&gt;1,总课表!N15,"")),"",IF(FIND($K$1,总课表!N15)&gt;0,总课表!N15,""))</f>
        <v/>
      </c>
      <c r="O15" s="14" t="str">
        <f>IF(ISERROR(IF(FIND($K$1,总课表!O15)&gt;1,总课表!O15,"")),"",IF(FIND($K$1,总课表!O15)&gt;0,总课表!O15,""))</f>
        <v/>
      </c>
      <c r="P15" s="14" t="str">
        <f>IF(ISERROR(IF(FIND($K$1,总课表!P15)&gt;1,总课表!P15,"")),"",IF(FIND($K$1,总课表!P15)&gt;0,总课表!P15,""))</f>
        <v>形势与政策
潘威全
践行楼104</v>
      </c>
      <c r="Q15" s="14" t="str">
        <f>IF(ISERROR(IF(FIND($K$1,总课表!Q15)&gt;1,总课表!Q15,"")),"",IF(FIND($K$1,总课表!Q15)&gt;0,总课表!Q15,""))</f>
        <v/>
      </c>
      <c r="R15" s="14" t="str">
        <f>IF(ISERROR(IF(FIND($K$1,总课表!R15)&gt;1,总课表!R15,"")),"",IF(FIND($K$1,总课表!R15)&gt;0,总课表!R15,""))</f>
        <v/>
      </c>
      <c r="S15" s="14" t="str">
        <f>IF(ISERROR(IF(FIND($K$1,总课表!S15)&gt;1,总课表!S15,"")),"",IF(FIND($K$1,总课表!S15)&gt;0,总课表!S15,""))</f>
        <v/>
      </c>
      <c r="T15" s="14" t="str">
        <f>IF(ISERROR(IF(FIND($K$1,总课表!T15)&gt;1,总课表!T15,"")),"",IF(FIND($K$1,总课表!T15)&gt;0,总课表!T15,""))</f>
        <v/>
      </c>
      <c r="U15" s="14" t="str">
        <f>IF(ISERROR(IF(FIND($K$1,总课表!U15)&gt;1,总课表!U15,"")),"",IF(FIND($K$1,总课表!U15)&gt;0,总课表!U15,""))</f>
        <v/>
      </c>
      <c r="V15" s="14" t="str">
        <f>IF(ISERROR(IF(FIND($K$1,总课表!V15)&gt;1,总课表!V15,"")),"",IF(FIND($K$1,总课表!V15)&gt;0,总课表!V15,""))</f>
        <v/>
      </c>
      <c r="W15" s="14" t="str">
        <f>IF(ISERROR(IF(FIND($K$1,总课表!W15)&gt;1,总课表!W15,"")),"",IF(FIND($K$1,总课表!W15)&gt;0,总课表!W15,""))</f>
        <v/>
      </c>
      <c r="X15" s="14" t="str">
        <f>IF(ISERROR(IF(FIND($K$1,总课表!X15)&gt;1,总课表!X15,"")),"",IF(FIND($K$1,总课表!X15)&gt;0,总课表!X15,""))</f>
        <v/>
      </c>
      <c r="Y15" s="14" t="str">
        <f>IF(ISERROR(IF(FIND($K$1,总课表!Y15)&gt;1,总课表!Y15,"")),"",IF(FIND($K$1,总课表!Y15)&gt;0,总课表!Y15,""))</f>
        <v/>
      </c>
      <c r="Z15" s="14" t="str">
        <f>IF(ISERROR(IF(FIND($K$1,总课表!Z15)&gt;1,总课表!Z15,"")),"",IF(FIND($K$1,总课表!Z15)&gt;0,总课表!Z15,""))</f>
        <v/>
      </c>
      <c r="AA15" s="14" t="str">
        <f>IF(ISERROR(IF(FIND($K$1,总课表!AA15)&gt;1,总课表!AA15,"")),"",IF(FIND($K$1,总课表!AA15)&gt;0,总课表!AA15,""))</f>
        <v/>
      </c>
      <c r="AB15" s="14" t="str">
        <f>IF(ISERROR(IF(FIND($K$1,总课表!AB15)&gt;1,总课表!AB15,"")),"",IF(FIND($K$1,总课表!AB15)&gt;0,总课表!AB15,""))</f>
        <v/>
      </c>
      <c r="AC15" s="14" t="str">
        <f>IF(ISERROR(IF(FIND($K$1,总课表!AC15)&gt;1,总课表!AC15,"")),"",IF(FIND($K$1,总课表!AC15)&gt;0,总课表!AC15,""))</f>
        <v/>
      </c>
    </row>
    <row r="16" spans="1:30" ht="48.9" customHeight="1">
      <c r="A16" s="13" t="str">
        <f>总课表!A16</f>
        <v>23建筑室内设计3</v>
      </c>
      <c r="B16" s="12">
        <f>总课表!B16</f>
        <v>53</v>
      </c>
      <c r="C16" s="14" t="str">
        <f>IF(ISERROR(IF(FIND($K$1,总课表!C16)&gt;1,总课表!C16,"")),"",IF(FIND($K$1,总课表!C16)&gt;0,总课表!C16,""))</f>
        <v/>
      </c>
      <c r="D16" s="14" t="str">
        <f>IF(ISERROR(IF(FIND($K$1,总课表!D16)&gt;1,总课表!D16,"")),"",IF(FIND($K$1,总课表!D16)&gt;0,总课表!D16,""))</f>
        <v/>
      </c>
      <c r="E16" s="14" t="str">
        <f>IF(ISERROR(IF(FIND($K$1,总课表!E16)&gt;1,总课表!E16,"")),"",IF(FIND($K$1,总课表!E16)&gt;0,总课表!E16,""))</f>
        <v/>
      </c>
      <c r="F16" s="14" t="str">
        <f>IF(ISERROR(IF(FIND($K$1,总课表!F16)&gt;1,总课表!F16,"")),"",IF(FIND($K$1,总课表!F16)&gt;0,总课表!F16,""))</f>
        <v/>
      </c>
      <c r="G16" s="14" t="str">
        <f>IF(ISERROR(IF(FIND($K$1,总课表!G16)&gt;1,总课表!G16,"")),"",IF(FIND($K$1,总课表!G16)&gt;0,总课表!G16,""))</f>
        <v/>
      </c>
      <c r="H16" s="14" t="str">
        <f>IF(ISERROR(IF(FIND($K$1,总课表!H16)&gt;1,总课表!H16,"")),"",IF(FIND($K$1,总课表!H16)&gt;0,总课表!H16,""))</f>
        <v/>
      </c>
      <c r="I16" s="14" t="str">
        <f>IF(ISERROR(IF(FIND($K$1,总课表!I16)&gt;1,总课表!I16,"")),"",IF(FIND($K$1,总课表!I16)&gt;0,总课表!I16,""))</f>
        <v/>
      </c>
      <c r="J16" s="14" t="str">
        <f>IF(ISERROR(IF(FIND($K$1,总课表!J16)&gt;1,总课表!J16,"")),"",IF(FIND($K$1,总课表!J16)&gt;0,总课表!J16,""))</f>
        <v/>
      </c>
      <c r="K16" s="14" t="str">
        <f>IF(ISERROR(IF(FIND($K$1,总课表!K16)&gt;1,总课表!K16,"")),"",IF(FIND($K$1,总课表!K16)&gt;0,总课表!K16,""))</f>
        <v/>
      </c>
      <c r="L16" s="14" t="str">
        <f>IF(ISERROR(IF(FIND($K$1,总课表!L16)&gt;1,总课表!L16,"")),"",IF(FIND($K$1,总课表!L16)&gt;0,总课表!L16,""))</f>
        <v/>
      </c>
      <c r="M16" s="14" t="str">
        <f>IF(ISERROR(IF(FIND($K$1,总课表!M16)&gt;1,总课表!M16,"")),"",IF(FIND($K$1,总课表!M16)&gt;0,总课表!M16,""))</f>
        <v/>
      </c>
      <c r="N16" s="14" t="str">
        <f>IF(ISERROR(IF(FIND($K$1,总课表!N16)&gt;1,总课表!N16,"")),"",IF(FIND($K$1,总课表!N16)&gt;0,总课表!N16,""))</f>
        <v/>
      </c>
      <c r="O16" s="14" t="str">
        <f>IF(ISERROR(IF(FIND($K$1,总课表!O16)&gt;1,总课表!O16,"")),"",IF(FIND($K$1,总课表!O16)&gt;0,总课表!O16,""))</f>
        <v/>
      </c>
      <c r="P16" s="14" t="str">
        <f>IF(ISERROR(IF(FIND($K$1,总课表!P16)&gt;1,总课表!P16,"")),"",IF(FIND($K$1,总课表!P16)&gt;0,总课表!P16,""))</f>
        <v/>
      </c>
      <c r="Q16" s="14" t="str">
        <f>IF(ISERROR(IF(FIND($K$1,总课表!Q16)&gt;1,总课表!Q16,"")),"",IF(FIND($K$1,总课表!Q16)&gt;0,总课表!Q16,""))</f>
        <v/>
      </c>
      <c r="R16" s="14" t="str">
        <f>IF(ISERROR(IF(FIND($K$1,总课表!R16)&gt;1,总课表!R16,"")),"",IF(FIND($K$1,总课表!R16)&gt;0,总课表!R16,""))</f>
        <v/>
      </c>
      <c r="S16" s="14" t="str">
        <f>IF(ISERROR(IF(FIND($K$1,总课表!S16)&gt;1,总课表!S16,"")),"",IF(FIND($K$1,总课表!S16)&gt;0,总课表!S16,""))</f>
        <v/>
      </c>
      <c r="T16" s="14" t="str">
        <f>IF(ISERROR(IF(FIND($K$1,总课表!T16)&gt;1,总课表!T16,"")),"",IF(FIND($K$1,总课表!T16)&gt;0,总课表!T16,""))</f>
        <v/>
      </c>
      <c r="U16" s="14" t="str">
        <f>IF(ISERROR(IF(FIND($K$1,总课表!U16)&gt;1,总课表!U16,"")),"",IF(FIND($K$1,总课表!U16)&gt;0,总课表!U16,""))</f>
        <v/>
      </c>
      <c r="V16" s="14" t="str">
        <f>IF(ISERROR(IF(FIND($K$1,总课表!V16)&gt;1,总课表!V16,"")),"",IF(FIND($K$1,总课表!V16)&gt;0,总课表!V16,""))</f>
        <v/>
      </c>
      <c r="W16" s="14" t="str">
        <f>IF(ISERROR(IF(FIND($K$1,总课表!W16)&gt;1,总课表!W16,"")),"",IF(FIND($K$1,总课表!W16)&gt;0,总课表!W16,""))</f>
        <v>形势与政策
潘威全
践行楼103</v>
      </c>
      <c r="X16" s="14" t="str">
        <f>IF(ISERROR(IF(FIND($K$1,总课表!X16)&gt;1,总课表!X16,"")),"",IF(FIND($K$1,总课表!X16)&gt;0,总课表!X16,""))</f>
        <v/>
      </c>
      <c r="Y16" s="14" t="str">
        <f>IF(ISERROR(IF(FIND($K$1,总课表!Y16)&gt;1,总课表!Y16,"")),"",IF(FIND($K$1,总课表!Y16)&gt;0,总课表!Y16,""))</f>
        <v/>
      </c>
      <c r="Z16" s="14" t="str">
        <f>IF(ISERROR(IF(FIND($K$1,总课表!Z16)&gt;1,总课表!Z16,"")),"",IF(FIND($K$1,总课表!Z16)&gt;0,总课表!Z16,""))</f>
        <v/>
      </c>
      <c r="AA16" s="14" t="str">
        <f>IF(ISERROR(IF(FIND($K$1,总课表!AA16)&gt;1,总课表!AA16,"")),"",IF(FIND($K$1,总课表!AA16)&gt;0,总课表!AA16,""))</f>
        <v/>
      </c>
      <c r="AB16" s="14" t="str">
        <f>IF(ISERROR(IF(FIND($K$1,总课表!AB16)&gt;1,总课表!AB16,"")),"",IF(FIND($K$1,总课表!AB16)&gt;0,总课表!AB16,""))</f>
        <v/>
      </c>
      <c r="AC16" s="14" t="str">
        <f>IF(ISERROR(IF(FIND($K$1,总课表!AC16)&gt;1,总课表!AC16,"")),"",IF(FIND($K$1,总课表!AC16)&gt;0,总课表!AC16,""))</f>
        <v/>
      </c>
    </row>
    <row r="17" spans="1:29" ht="48.9" customHeight="1">
      <c r="A17" s="13" t="str">
        <f>总课表!A17</f>
        <v>23建筑室内设计4</v>
      </c>
      <c r="B17" s="12">
        <f>总课表!B17</f>
        <v>52</v>
      </c>
      <c r="C17" s="14" t="str">
        <f>IF(ISERROR(IF(FIND($K$1,总课表!C17)&gt;1,总课表!C17,"")),"",IF(FIND($K$1,总课表!C17)&gt;0,总课表!C17,""))</f>
        <v/>
      </c>
      <c r="D17" s="14" t="str">
        <f>IF(ISERROR(IF(FIND($K$1,总课表!D17)&gt;1,总课表!D17,"")),"",IF(FIND($K$1,总课表!D17)&gt;0,总课表!D17,""))</f>
        <v/>
      </c>
      <c r="E17" s="14" t="str">
        <f>IF(ISERROR(IF(FIND($K$1,总课表!E17)&gt;1,总课表!E17,"")),"",IF(FIND($K$1,总课表!E17)&gt;0,总课表!E17,""))</f>
        <v/>
      </c>
      <c r="F17" s="14" t="str">
        <f>IF(ISERROR(IF(FIND($K$1,总课表!F17)&gt;1,总课表!F17,"")),"",IF(FIND($K$1,总课表!F17)&gt;0,总课表!F17,""))</f>
        <v/>
      </c>
      <c r="G17" s="14" t="str">
        <f>IF(ISERROR(IF(FIND($K$1,总课表!G17)&gt;1,总课表!G17,"")),"",IF(FIND($K$1,总课表!G17)&gt;0,总课表!G17,""))</f>
        <v/>
      </c>
      <c r="H17" s="14" t="str">
        <f>IF(ISERROR(IF(FIND($K$1,总课表!H17)&gt;1,总课表!H17,"")),"",IF(FIND($K$1,总课表!H17)&gt;0,总课表!H17,""))</f>
        <v/>
      </c>
      <c r="I17" s="14" t="str">
        <f>IF(ISERROR(IF(FIND($K$1,总课表!I17)&gt;1,总课表!I17,"")),"",IF(FIND($K$1,总课表!I17)&gt;0,总课表!I17,""))</f>
        <v/>
      </c>
      <c r="J17" s="14" t="str">
        <f>IF(ISERROR(IF(FIND($K$1,总课表!J17)&gt;1,总课表!J17,"")),"",IF(FIND($K$1,总课表!J17)&gt;0,总课表!J17,""))</f>
        <v/>
      </c>
      <c r="K17" s="14" t="str">
        <f>IF(ISERROR(IF(FIND($K$1,总课表!K17)&gt;1,总课表!K17,"")),"",IF(FIND($K$1,总课表!K17)&gt;0,总课表!K17,""))</f>
        <v/>
      </c>
      <c r="L17" s="14" t="str">
        <f>IF(ISERROR(IF(FIND($K$1,总课表!L17)&gt;1,总课表!L17,"")),"",IF(FIND($K$1,总课表!L17)&gt;0,总课表!L17,""))</f>
        <v/>
      </c>
      <c r="M17" s="14" t="str">
        <f>IF(ISERROR(IF(FIND($K$1,总课表!M17)&gt;1,总课表!M17,"")),"",IF(FIND($K$1,总课表!M17)&gt;0,总课表!M17,""))</f>
        <v/>
      </c>
      <c r="N17" s="14" t="str">
        <f>IF(ISERROR(IF(FIND($K$1,总课表!N17)&gt;1,总课表!N17,"")),"",IF(FIND($K$1,总课表!N17)&gt;0,总课表!N17,""))</f>
        <v/>
      </c>
      <c r="O17" s="14" t="str">
        <f>IF(ISERROR(IF(FIND($K$1,总课表!O17)&gt;1,总课表!O17,"")),"",IF(FIND($K$1,总课表!O17)&gt;0,总课表!O17,""))</f>
        <v/>
      </c>
      <c r="P17" s="14" t="str">
        <f>IF(ISERROR(IF(FIND($K$1,总课表!P17)&gt;1,总课表!P17,"")),"",IF(FIND($K$1,总课表!P17)&gt;0,总课表!P17,""))</f>
        <v/>
      </c>
      <c r="Q17" s="14" t="str">
        <f>IF(ISERROR(IF(FIND($K$1,总课表!Q17)&gt;1,总课表!Q17,"")),"",IF(FIND($K$1,总课表!Q17)&gt;0,总课表!Q17,""))</f>
        <v/>
      </c>
      <c r="R17" s="14" t="str">
        <f>IF(ISERROR(IF(FIND($K$1,总课表!R17)&gt;1,总课表!R17,"")),"",IF(FIND($K$1,总课表!R17)&gt;0,总课表!R17,""))</f>
        <v/>
      </c>
      <c r="S17" s="14" t="str">
        <f>IF(ISERROR(IF(FIND($K$1,总课表!S17)&gt;1,总课表!S17,"")),"",IF(FIND($K$1,总课表!S17)&gt;0,总课表!S17,""))</f>
        <v/>
      </c>
      <c r="T17" s="14" t="str">
        <f>IF(ISERROR(IF(FIND($K$1,总课表!T17)&gt;1,总课表!T17,"")),"",IF(FIND($K$1,总课表!T17)&gt;0,总课表!T17,""))</f>
        <v/>
      </c>
      <c r="U17" s="14" t="str">
        <f>IF(ISERROR(IF(FIND($K$1,总课表!U17)&gt;1,总课表!U17,"")),"",IF(FIND($K$1,总课表!U17)&gt;0,总课表!U17,""))</f>
        <v/>
      </c>
      <c r="V17" s="14" t="str">
        <f>IF(ISERROR(IF(FIND($K$1,总课表!V17)&gt;1,总课表!V17,"")),"",IF(FIND($K$1,总课表!V17)&gt;0,总课表!V17,""))</f>
        <v/>
      </c>
      <c r="W17" s="14" t="str">
        <f>IF(ISERROR(IF(FIND($K$1,总课表!W17)&gt;1,总课表!W17,"")),"",IF(FIND($K$1,总课表!W17)&gt;0,总课表!W17,""))</f>
        <v>形势与政策
潘威全
践行楼103</v>
      </c>
      <c r="X17" s="14" t="str">
        <f>IF(ISERROR(IF(FIND($K$1,总课表!X17)&gt;1,总课表!X17,"")),"",IF(FIND($K$1,总课表!X17)&gt;0,总课表!X17,""))</f>
        <v/>
      </c>
      <c r="Y17" s="14" t="str">
        <f>IF(ISERROR(IF(FIND($K$1,总课表!Y17)&gt;1,总课表!Y17,"")),"",IF(FIND($K$1,总课表!Y17)&gt;0,总课表!Y17,""))</f>
        <v/>
      </c>
      <c r="Z17" s="14" t="str">
        <f>IF(ISERROR(IF(FIND($K$1,总课表!Z17)&gt;1,总课表!Z17,"")),"",IF(FIND($K$1,总课表!Z17)&gt;0,总课表!Z17,""))</f>
        <v/>
      </c>
      <c r="AA17" s="14" t="str">
        <f>IF(ISERROR(IF(FIND($K$1,总课表!AA17)&gt;1,总课表!AA17,"")),"",IF(FIND($K$1,总课表!AA17)&gt;0,总课表!AA17,""))</f>
        <v/>
      </c>
      <c r="AB17" s="14" t="str">
        <f>IF(ISERROR(IF(FIND($K$1,总课表!AB17)&gt;1,总课表!AB17,"")),"",IF(FIND($K$1,总课表!AB17)&gt;0,总课表!AB17,""))</f>
        <v/>
      </c>
      <c r="AC17" s="14" t="str">
        <f>IF(ISERROR(IF(FIND($K$1,总课表!AC17)&gt;1,总课表!AC17,"")),"",IF(FIND($K$1,总课表!AC17)&gt;0,总课表!AC17,""))</f>
        <v/>
      </c>
    </row>
    <row r="18" spans="1:29" ht="48.9" customHeight="1">
      <c r="A18" s="13" t="str">
        <f>总课表!A18</f>
        <v>23建筑室内设计5</v>
      </c>
      <c r="B18" s="12">
        <f>总课表!B18</f>
        <v>46</v>
      </c>
      <c r="C18" s="14" t="str">
        <f>IF(ISERROR(IF(FIND($K$1,总课表!C18)&gt;1,总课表!C18,"")),"",IF(FIND($K$1,总课表!C18)&gt;0,总课表!C18,""))</f>
        <v/>
      </c>
      <c r="D18" s="14" t="str">
        <f>IF(ISERROR(IF(FIND($K$1,总课表!D18)&gt;1,总课表!D18,"")),"",IF(FIND($K$1,总课表!D18)&gt;0,总课表!D18,""))</f>
        <v/>
      </c>
      <c r="E18" s="14" t="str">
        <f>IF(ISERROR(IF(FIND($K$1,总课表!E18)&gt;1,总课表!E18,"")),"",IF(FIND($K$1,总课表!E18)&gt;0,总课表!E18,""))</f>
        <v/>
      </c>
      <c r="F18" s="14" t="str">
        <f>IF(ISERROR(IF(FIND($K$1,总课表!F18)&gt;1,总课表!F18,"")),"",IF(FIND($K$1,总课表!F18)&gt;0,总课表!F18,""))</f>
        <v/>
      </c>
      <c r="G18" s="14" t="str">
        <f>IF(ISERROR(IF(FIND($K$1,总课表!G18)&gt;1,总课表!G18,"")),"",IF(FIND($K$1,总课表!G18)&gt;0,总课表!G18,""))</f>
        <v/>
      </c>
      <c r="H18" s="14" t="str">
        <f>IF(ISERROR(IF(FIND($K$1,总课表!H18)&gt;1,总课表!H18,"")),"",IF(FIND($K$1,总课表!H18)&gt;0,总课表!H18,""))</f>
        <v/>
      </c>
      <c r="I18" s="14" t="str">
        <f>IF(ISERROR(IF(FIND($K$1,总课表!I18)&gt;1,总课表!I18,"")),"",IF(FIND($K$1,总课表!I18)&gt;0,总课表!I18,""))</f>
        <v/>
      </c>
      <c r="J18" s="14" t="str">
        <f>IF(ISERROR(IF(FIND($K$1,总课表!J18)&gt;1,总课表!J18,"")),"",IF(FIND($K$1,总课表!J18)&gt;0,总课表!J18,""))</f>
        <v/>
      </c>
      <c r="K18" s="14" t="str">
        <f>IF(ISERROR(IF(FIND($K$1,总课表!K18)&gt;1,总课表!K18,"")),"",IF(FIND($K$1,总课表!K18)&gt;0,总课表!K18,""))</f>
        <v/>
      </c>
      <c r="L18" s="14" t="str">
        <f>IF(ISERROR(IF(FIND($K$1,总课表!L18)&gt;1,总课表!L18,"")),"",IF(FIND($K$1,总课表!L18)&gt;0,总课表!L18,""))</f>
        <v/>
      </c>
      <c r="M18" s="14" t="str">
        <f>IF(ISERROR(IF(FIND($K$1,总课表!M18)&gt;1,总课表!M18,"")),"",IF(FIND($K$1,总课表!M18)&gt;0,总课表!M18,""))</f>
        <v/>
      </c>
      <c r="N18" s="14" t="str">
        <f>IF(ISERROR(IF(FIND($K$1,总课表!N18)&gt;1,总课表!N18,"")),"",IF(FIND($K$1,总课表!N18)&gt;0,总课表!N18,""))</f>
        <v/>
      </c>
      <c r="O18" s="14" t="str">
        <f>IF(ISERROR(IF(FIND($K$1,总课表!O18)&gt;1,总课表!O18,"")),"",IF(FIND($K$1,总课表!O18)&gt;0,总课表!O18,""))</f>
        <v/>
      </c>
      <c r="P18" s="14" t="str">
        <f>IF(ISERROR(IF(FIND($K$1,总课表!P18)&gt;1,总课表!P18,"")),"",IF(FIND($K$1,总课表!P18)&gt;0,总课表!P18,""))</f>
        <v/>
      </c>
      <c r="Q18" s="14" t="str">
        <f>IF(ISERROR(IF(FIND($K$1,总课表!Q18)&gt;1,总课表!Q18,"")),"",IF(FIND($K$1,总课表!Q18)&gt;0,总课表!Q18,""))</f>
        <v/>
      </c>
      <c r="R18" s="14" t="str">
        <f>IF(ISERROR(IF(FIND($K$1,总课表!R18)&gt;1,总课表!R18,"")),"",IF(FIND($K$1,总课表!R18)&gt;0,总课表!R18,""))</f>
        <v/>
      </c>
      <c r="S18" s="14" t="str">
        <f>IF(ISERROR(IF(FIND($K$1,总课表!S18)&gt;1,总课表!S18,"")),"",IF(FIND($K$1,总课表!S18)&gt;0,总课表!S18,""))</f>
        <v/>
      </c>
      <c r="T18" s="14" t="str">
        <f>IF(ISERROR(IF(FIND($K$1,总课表!T18)&gt;1,总课表!T18,"")),"",IF(FIND($K$1,总课表!T18)&gt;0,总课表!T18,""))</f>
        <v/>
      </c>
      <c r="U18" s="14" t="str">
        <f>IF(ISERROR(IF(FIND($K$1,总课表!U18)&gt;1,总课表!U18,"")),"",IF(FIND($K$1,总课表!U18)&gt;0,总课表!U18,""))</f>
        <v/>
      </c>
      <c r="V18" s="14" t="str">
        <f>IF(ISERROR(IF(FIND($K$1,总课表!V18)&gt;1,总课表!V18,"")),"",IF(FIND($K$1,总课表!V18)&gt;0,总课表!V18,""))</f>
        <v/>
      </c>
      <c r="W18" s="14" t="str">
        <f>IF(ISERROR(IF(FIND($K$1,总课表!W18)&gt;1,总课表!W18,"")),"",IF(FIND($K$1,总课表!W18)&gt;0,总课表!W18,""))</f>
        <v/>
      </c>
      <c r="X18" s="14" t="str">
        <f>IF(ISERROR(IF(FIND($K$1,总课表!X18)&gt;1,总课表!X18,"")),"",IF(FIND($K$1,总课表!X18)&gt;0,总课表!X18,""))</f>
        <v>形势与政策
潘威全
践行楼103</v>
      </c>
      <c r="Y18" s="14" t="str">
        <f>IF(ISERROR(IF(FIND($K$1,总课表!Y18)&gt;1,总课表!Y18,"")),"",IF(FIND($K$1,总课表!Y18)&gt;0,总课表!Y18,""))</f>
        <v/>
      </c>
      <c r="Z18" s="14" t="str">
        <f>IF(ISERROR(IF(FIND($K$1,总课表!Z18)&gt;1,总课表!Z18,"")),"",IF(FIND($K$1,总课表!Z18)&gt;0,总课表!Z18,""))</f>
        <v/>
      </c>
      <c r="AA18" s="14" t="str">
        <f>IF(ISERROR(IF(FIND($K$1,总课表!AA18)&gt;1,总课表!AA18,"")),"",IF(FIND($K$1,总课表!AA18)&gt;0,总课表!AA18,""))</f>
        <v/>
      </c>
      <c r="AB18" s="14" t="str">
        <f>IF(ISERROR(IF(FIND($K$1,总课表!AB18)&gt;1,总课表!AB18,"")),"",IF(FIND($K$1,总课表!AB18)&gt;0,总课表!AB18,""))</f>
        <v/>
      </c>
      <c r="AC18" s="14" t="str">
        <f>IF(ISERROR(IF(FIND($K$1,总课表!AC18)&gt;1,总课表!AC18,"")),"",IF(FIND($K$1,总课表!AC18)&gt;0,总课表!AC18,""))</f>
        <v/>
      </c>
    </row>
    <row r="19" spans="1:29" ht="48.9" customHeight="1">
      <c r="A19" s="13" t="str">
        <f>总课表!A19</f>
        <v>23建筑室内设计6</v>
      </c>
      <c r="B19" s="12">
        <f>总课表!B19</f>
        <v>34</v>
      </c>
      <c r="C19" s="14" t="str">
        <f>IF(ISERROR(IF(FIND($K$1,总课表!C19)&gt;1,总课表!C19,"")),"",IF(FIND($K$1,总课表!C19)&gt;0,总课表!C19,""))</f>
        <v/>
      </c>
      <c r="D19" s="14" t="str">
        <f>IF(ISERROR(IF(FIND($K$1,总课表!D19)&gt;1,总课表!D19,"")),"",IF(FIND($K$1,总课表!D19)&gt;0,总课表!D19,""))</f>
        <v/>
      </c>
      <c r="E19" s="14" t="str">
        <f>IF(ISERROR(IF(FIND($K$1,总课表!E19)&gt;1,总课表!E19,"")),"",IF(FIND($K$1,总课表!E19)&gt;0,总课表!E19,""))</f>
        <v/>
      </c>
      <c r="F19" s="14" t="str">
        <f>IF(ISERROR(IF(FIND($K$1,总课表!F19)&gt;1,总课表!F19,"")),"",IF(FIND($K$1,总课表!F19)&gt;0,总课表!F19,""))</f>
        <v/>
      </c>
      <c r="G19" s="14" t="str">
        <f>IF(ISERROR(IF(FIND($K$1,总课表!G19)&gt;1,总课表!G19,"")),"",IF(FIND($K$1,总课表!G19)&gt;0,总课表!G19,""))</f>
        <v/>
      </c>
      <c r="H19" s="14" t="str">
        <f>IF(ISERROR(IF(FIND($K$1,总课表!H19)&gt;1,总课表!H19,"")),"",IF(FIND($K$1,总课表!H19)&gt;0,总课表!H19,""))</f>
        <v/>
      </c>
      <c r="I19" s="14" t="str">
        <f>IF(ISERROR(IF(FIND($K$1,总课表!I19)&gt;1,总课表!I19,"")),"",IF(FIND($K$1,总课表!I19)&gt;0,总课表!I19,""))</f>
        <v/>
      </c>
      <c r="J19" s="14" t="str">
        <f>IF(ISERROR(IF(FIND($K$1,总课表!J19)&gt;1,总课表!J19,"")),"",IF(FIND($K$1,总课表!J19)&gt;0,总课表!J19,""))</f>
        <v/>
      </c>
      <c r="K19" s="14" t="str">
        <f>IF(ISERROR(IF(FIND($K$1,总课表!K19)&gt;1,总课表!K19,"")),"",IF(FIND($K$1,总课表!K19)&gt;0,总课表!K19,""))</f>
        <v/>
      </c>
      <c r="L19" s="14" t="str">
        <f>IF(ISERROR(IF(FIND($K$1,总课表!L19)&gt;1,总课表!L19,"")),"",IF(FIND($K$1,总课表!L19)&gt;0,总课表!L19,""))</f>
        <v/>
      </c>
      <c r="M19" s="14" t="str">
        <f>IF(ISERROR(IF(FIND($K$1,总课表!M19)&gt;1,总课表!M19,"")),"",IF(FIND($K$1,总课表!M19)&gt;0,总课表!M19,""))</f>
        <v/>
      </c>
      <c r="N19" s="14" t="str">
        <f>IF(ISERROR(IF(FIND($K$1,总课表!N19)&gt;1,总课表!N19,"")),"",IF(FIND($K$1,总课表!N19)&gt;0,总课表!N19,""))</f>
        <v/>
      </c>
      <c r="O19" s="14" t="str">
        <f>IF(ISERROR(IF(FIND($K$1,总课表!O19)&gt;1,总课表!O19,"")),"",IF(FIND($K$1,总课表!O19)&gt;0,总课表!O19,""))</f>
        <v/>
      </c>
      <c r="P19" s="14" t="str">
        <f>IF(ISERROR(IF(FIND($K$1,总课表!P19)&gt;1,总课表!P19,"")),"",IF(FIND($K$1,总课表!P19)&gt;0,总课表!P19,""))</f>
        <v/>
      </c>
      <c r="Q19" s="14" t="str">
        <f>IF(ISERROR(IF(FIND($K$1,总课表!Q19)&gt;1,总课表!Q19,"")),"",IF(FIND($K$1,总课表!Q19)&gt;0,总课表!Q19,""))</f>
        <v/>
      </c>
      <c r="R19" s="14" t="str">
        <f>IF(ISERROR(IF(FIND($K$1,总课表!R19)&gt;1,总课表!R19,"")),"",IF(FIND($K$1,总课表!R19)&gt;0,总课表!R19,""))</f>
        <v/>
      </c>
      <c r="S19" s="14" t="str">
        <f>IF(ISERROR(IF(FIND($K$1,总课表!S19)&gt;1,总课表!S19,"")),"",IF(FIND($K$1,总课表!S19)&gt;0,总课表!S19,""))</f>
        <v/>
      </c>
      <c r="T19" s="14" t="str">
        <f>IF(ISERROR(IF(FIND($K$1,总课表!T19)&gt;1,总课表!T19,"")),"",IF(FIND($K$1,总课表!T19)&gt;0,总课表!T19,""))</f>
        <v/>
      </c>
      <c r="U19" s="14" t="str">
        <f>IF(ISERROR(IF(FIND($K$1,总课表!U19)&gt;1,总课表!U19,"")),"",IF(FIND($K$1,总课表!U19)&gt;0,总课表!U19,""))</f>
        <v/>
      </c>
      <c r="V19" s="14" t="str">
        <f>IF(ISERROR(IF(FIND($K$1,总课表!V19)&gt;1,总课表!V19,"")),"",IF(FIND($K$1,总课表!V19)&gt;0,总课表!V19,""))</f>
        <v/>
      </c>
      <c r="W19" s="14" t="str">
        <f>IF(ISERROR(IF(FIND($K$1,总课表!W19)&gt;1,总课表!W19,"")),"",IF(FIND($K$1,总课表!W19)&gt;0,总课表!W19,""))</f>
        <v/>
      </c>
      <c r="X19" s="14" t="str">
        <f>IF(ISERROR(IF(FIND($K$1,总课表!X19)&gt;1,总课表!X19,"")),"",IF(FIND($K$1,总课表!X19)&gt;0,总课表!X19,""))</f>
        <v>形势与政策
潘威全
践行楼103</v>
      </c>
      <c r="Y19" s="14" t="str">
        <f>IF(ISERROR(IF(FIND($K$1,总课表!Y19)&gt;1,总课表!Y19,"")),"",IF(FIND($K$1,总课表!Y19)&gt;0,总课表!Y19,""))</f>
        <v/>
      </c>
      <c r="Z19" s="14" t="str">
        <f>IF(ISERROR(IF(FIND($K$1,总课表!Z19)&gt;1,总课表!Z19,"")),"",IF(FIND($K$1,总课表!Z19)&gt;0,总课表!Z19,""))</f>
        <v/>
      </c>
      <c r="AA19" s="14" t="str">
        <f>IF(ISERROR(IF(FIND($K$1,总课表!AA19)&gt;1,总课表!AA19,"")),"",IF(FIND($K$1,总课表!AA19)&gt;0,总课表!AA19,""))</f>
        <v/>
      </c>
      <c r="AB19" s="14" t="str">
        <f>IF(ISERROR(IF(FIND($K$1,总课表!AB19)&gt;1,总课表!AB19,"")),"",IF(FIND($K$1,总课表!AB19)&gt;0,总课表!AB19,""))</f>
        <v/>
      </c>
      <c r="AC19" s="14" t="str">
        <f>IF(ISERROR(IF(FIND($K$1,总课表!AC19)&gt;1,总课表!AC19,"")),"",IF(FIND($K$1,总课表!AC19)&gt;0,总课表!AC19,""))</f>
        <v/>
      </c>
    </row>
    <row r="20" spans="1:29" ht="48.9" customHeight="1">
      <c r="A20" s="13" t="str">
        <f>总课表!A20</f>
        <v>23学前教育1</v>
      </c>
      <c r="B20" s="12">
        <f>总课表!B20</f>
        <v>54</v>
      </c>
      <c r="C20" s="14" t="str">
        <f>IF(ISERROR(IF(FIND($K$1,总课表!C20)&gt;1,总课表!C20,"")),"",IF(FIND($K$1,总课表!C20)&gt;0,总课表!C20,""))</f>
        <v/>
      </c>
      <c r="D20" s="14" t="str">
        <f>IF(ISERROR(IF(FIND($K$1,总课表!D20)&gt;1,总课表!D20,"")),"",IF(FIND($K$1,总课表!D20)&gt;0,总课表!D20,""))</f>
        <v/>
      </c>
      <c r="E20" s="14" t="str">
        <f>IF(ISERROR(IF(FIND($K$1,总课表!E20)&gt;1,总课表!E20,"")),"",IF(FIND($K$1,总课表!E20)&gt;0,总课表!E20,""))</f>
        <v/>
      </c>
      <c r="F20" s="14" t="str">
        <f>IF(ISERROR(IF(FIND($K$1,总课表!F20)&gt;1,总课表!F20,"")),"",IF(FIND($K$1,总课表!F20)&gt;0,总课表!F20,""))</f>
        <v/>
      </c>
      <c r="G20" s="14" t="str">
        <f>IF(ISERROR(IF(FIND($K$1,总课表!G20)&gt;1,总课表!G20,"")),"",IF(FIND($K$1,总课表!G20)&gt;0,总课表!G20,""))</f>
        <v/>
      </c>
      <c r="H20" s="14" t="str">
        <f>IF(ISERROR(IF(FIND($K$1,总课表!H20)&gt;1,总课表!H20,"")),"",IF(FIND($K$1,总课表!H20)&gt;0,总课表!H20,""))</f>
        <v/>
      </c>
      <c r="I20" s="14" t="str">
        <f>IF(ISERROR(IF(FIND($K$1,总课表!I20)&gt;1,总课表!I20,"")),"",IF(FIND($K$1,总课表!I20)&gt;0,总课表!I20,""))</f>
        <v/>
      </c>
      <c r="J20" s="14" t="str">
        <f>IF(ISERROR(IF(FIND($K$1,总课表!J20)&gt;1,总课表!J20,"")),"",IF(FIND($K$1,总课表!J20)&gt;0,总课表!J20,""))</f>
        <v/>
      </c>
      <c r="K20" s="14" t="str">
        <f>IF(ISERROR(IF(FIND($K$1,总课表!K20)&gt;1,总课表!K20,"")),"",IF(FIND($K$1,总课表!K20)&gt;0,总课表!K20,""))</f>
        <v/>
      </c>
      <c r="L20" s="14" t="str">
        <f>IF(ISERROR(IF(FIND($K$1,总课表!L20)&gt;1,总课表!L20,"")),"",IF(FIND($K$1,总课表!L20)&gt;0,总课表!L20,""))</f>
        <v/>
      </c>
      <c r="M20" s="14" t="str">
        <f>IF(ISERROR(IF(FIND($K$1,总课表!M20)&gt;1,总课表!M20,"")),"",IF(FIND($K$1,总课表!M20)&gt;0,总课表!M20,""))</f>
        <v/>
      </c>
      <c r="N20" s="14" t="str">
        <f>IF(ISERROR(IF(FIND($K$1,总课表!N20)&gt;1,总课表!N20,"")),"",IF(FIND($K$1,总课表!N20)&gt;0,总课表!N20,""))</f>
        <v/>
      </c>
      <c r="O20" s="14" t="str">
        <f>IF(ISERROR(IF(FIND($K$1,总课表!O20)&gt;1,总课表!O20,"")),"",IF(FIND($K$1,总课表!O20)&gt;0,总课表!O20,""))</f>
        <v/>
      </c>
      <c r="P20" s="14" t="str">
        <f>IF(ISERROR(IF(FIND($K$1,总课表!P20)&gt;1,总课表!P20,"")),"",IF(FIND($K$1,总课表!P20)&gt;0,总课表!P20,""))</f>
        <v/>
      </c>
      <c r="Q20" s="14" t="str">
        <f>IF(ISERROR(IF(FIND($K$1,总课表!Q20)&gt;1,总课表!Q20,"")),"",IF(FIND($K$1,总课表!Q20)&gt;0,总课表!Q20,""))</f>
        <v/>
      </c>
      <c r="R20" s="14" t="str">
        <f>IF(ISERROR(IF(FIND($K$1,总课表!R20)&gt;1,总课表!R20,"")),"",IF(FIND($K$1,总课表!R20)&gt;0,总课表!R20,""))</f>
        <v/>
      </c>
      <c r="S20" s="14" t="str">
        <f>IF(ISERROR(IF(FIND($K$1,总课表!S20)&gt;1,总课表!S20,"")),"",IF(FIND($K$1,总课表!S20)&gt;0,总课表!S20,""))</f>
        <v/>
      </c>
      <c r="T20" s="14" t="str">
        <f>IF(ISERROR(IF(FIND($K$1,总课表!T20)&gt;1,总课表!T20,"")),"",IF(FIND($K$1,总课表!T20)&gt;0,总课表!T20,""))</f>
        <v/>
      </c>
      <c r="U20" s="14" t="str">
        <f>IF(ISERROR(IF(FIND($K$1,总课表!U20)&gt;1,总课表!U20,"")),"",IF(FIND($K$1,总课表!U20)&gt;0,总课表!U20,""))</f>
        <v/>
      </c>
      <c r="V20" s="14" t="str">
        <f>IF(ISERROR(IF(FIND($K$1,总课表!V20)&gt;1,总课表!V20,"")),"",IF(FIND($K$1,总课表!V20)&gt;0,总课表!V20,""))</f>
        <v/>
      </c>
      <c r="W20" s="14" t="str">
        <f>IF(ISERROR(IF(FIND($K$1,总课表!W20)&gt;1,总课表!W20,"")),"",IF(FIND($K$1,总课表!W20)&gt;0,总课表!W20,""))</f>
        <v/>
      </c>
      <c r="X20" s="14" t="str">
        <f>IF(ISERROR(IF(FIND($K$1,总课表!X20)&gt;1,总课表!X20,"")),"",IF(FIND($K$1,总课表!X20)&gt;0,总课表!X20,""))</f>
        <v/>
      </c>
      <c r="Y20" s="14" t="str">
        <f>IF(ISERROR(IF(FIND($K$1,总课表!Y20)&gt;1,总课表!Y20,"")),"",IF(FIND($K$1,总课表!Y20)&gt;0,总课表!Y20,""))</f>
        <v/>
      </c>
      <c r="Z20" s="14" t="str">
        <f>IF(ISERROR(IF(FIND($K$1,总课表!Z20)&gt;1,总课表!Z20,"")),"",IF(FIND($K$1,总课表!Z20)&gt;0,总课表!Z20,""))</f>
        <v/>
      </c>
      <c r="AA20" s="14" t="str">
        <f>IF(ISERROR(IF(FIND($K$1,总课表!AA20)&gt;1,总课表!AA20,"")),"",IF(FIND($K$1,总课表!AA20)&gt;0,总课表!AA20,""))</f>
        <v/>
      </c>
      <c r="AB20" s="14" t="str">
        <f>IF(ISERROR(IF(FIND($K$1,总课表!AB20)&gt;1,总课表!AB20,"")),"",IF(FIND($K$1,总课表!AB20)&gt;0,总课表!AB20,""))</f>
        <v/>
      </c>
      <c r="AC20" s="14" t="str">
        <f>IF(ISERROR(IF(FIND($K$1,总课表!AC20)&gt;1,总课表!AC20,"")),"",IF(FIND($K$1,总课表!AC20)&gt;0,总课表!AC20,""))</f>
        <v/>
      </c>
    </row>
    <row r="21" spans="1:29" ht="48.9" customHeight="1">
      <c r="A21" s="13" t="str">
        <f>总课表!A21</f>
        <v>23学前教育7</v>
      </c>
      <c r="B21" s="12">
        <f>总课表!B21</f>
        <v>33</v>
      </c>
      <c r="C21" s="14" t="str">
        <f>IF(ISERROR(IF(FIND($K$1,总课表!C21)&gt;1,总课表!C21,"")),"",IF(FIND($K$1,总课表!C21)&gt;0,总课表!C21,""))</f>
        <v/>
      </c>
      <c r="D21" s="14" t="str">
        <f>IF(ISERROR(IF(FIND($K$1,总课表!D21)&gt;1,总课表!D21,"")),"",IF(FIND($K$1,总课表!D21)&gt;0,总课表!D21,""))</f>
        <v/>
      </c>
      <c r="E21" s="14" t="str">
        <f>IF(ISERROR(IF(FIND($K$1,总课表!E21)&gt;1,总课表!E21,"")),"",IF(FIND($K$1,总课表!E21)&gt;0,总课表!E21,""))</f>
        <v/>
      </c>
      <c r="F21" s="14" t="str">
        <f>IF(ISERROR(IF(FIND($K$1,总课表!F21)&gt;1,总课表!F21,"")),"",IF(FIND($K$1,总课表!F21)&gt;0,总课表!F21,""))</f>
        <v/>
      </c>
      <c r="G21" s="14" t="str">
        <f>IF(ISERROR(IF(FIND($K$1,总课表!G21)&gt;1,总课表!G21,"")),"",IF(FIND($K$1,总课表!G21)&gt;0,总课表!G21,""))</f>
        <v/>
      </c>
      <c r="H21" s="14" t="str">
        <f>IF(ISERROR(IF(FIND($K$1,总课表!H21)&gt;1,总课表!H21,"")),"",IF(FIND($K$1,总课表!H21)&gt;0,总课表!H21,""))</f>
        <v/>
      </c>
      <c r="I21" s="14" t="str">
        <f>IF(ISERROR(IF(FIND($K$1,总课表!I21)&gt;1,总课表!I21,"")),"",IF(FIND($K$1,总课表!I21)&gt;0,总课表!I21,""))</f>
        <v/>
      </c>
      <c r="J21" s="14" t="str">
        <f>IF(ISERROR(IF(FIND($K$1,总课表!J21)&gt;1,总课表!J21,"")),"",IF(FIND($K$1,总课表!J21)&gt;0,总课表!J21,""))</f>
        <v/>
      </c>
      <c r="K21" s="14" t="str">
        <f>IF(ISERROR(IF(FIND($K$1,总课表!K21)&gt;1,总课表!K21,"")),"",IF(FIND($K$1,总课表!K21)&gt;0,总课表!K21,""))</f>
        <v/>
      </c>
      <c r="L21" s="14" t="str">
        <f>IF(ISERROR(IF(FIND($K$1,总课表!L21)&gt;1,总课表!L21,"")),"",IF(FIND($K$1,总课表!L21)&gt;0,总课表!L21,""))</f>
        <v/>
      </c>
      <c r="M21" s="14" t="str">
        <f>IF(ISERROR(IF(FIND($K$1,总课表!M21)&gt;1,总课表!M21,"")),"",IF(FIND($K$1,总课表!M21)&gt;0,总课表!M21,""))</f>
        <v/>
      </c>
      <c r="N21" s="14" t="str">
        <f>IF(ISERROR(IF(FIND($K$1,总课表!N21)&gt;1,总课表!N21,"")),"",IF(FIND($K$1,总课表!N21)&gt;0,总课表!N21,""))</f>
        <v/>
      </c>
      <c r="O21" s="14" t="str">
        <f>IF(ISERROR(IF(FIND($K$1,总课表!O21)&gt;1,总课表!O21,"")),"",IF(FIND($K$1,总课表!O21)&gt;0,总课表!O21,""))</f>
        <v/>
      </c>
      <c r="P21" s="14" t="str">
        <f>IF(ISERROR(IF(FIND($K$1,总课表!P21)&gt;1,总课表!P21,"")),"",IF(FIND($K$1,总课表!P21)&gt;0,总课表!P21,""))</f>
        <v/>
      </c>
      <c r="Q21" s="14" t="str">
        <f>IF(ISERROR(IF(FIND($K$1,总课表!Q21)&gt;1,总课表!Q21,"")),"",IF(FIND($K$1,总课表!Q21)&gt;0,总课表!Q21,""))</f>
        <v/>
      </c>
      <c r="R21" s="14" t="str">
        <f>IF(ISERROR(IF(FIND($K$1,总课表!R21)&gt;1,总课表!R21,"")),"",IF(FIND($K$1,总课表!R21)&gt;0,总课表!R21,""))</f>
        <v/>
      </c>
      <c r="S21" s="14" t="str">
        <f>IF(ISERROR(IF(FIND($K$1,总课表!S21)&gt;1,总课表!S21,"")),"",IF(FIND($K$1,总课表!S21)&gt;0,总课表!S21,""))</f>
        <v/>
      </c>
      <c r="T21" s="14" t="str">
        <f>IF(ISERROR(IF(FIND($K$1,总课表!T21)&gt;1,总课表!T21,"")),"",IF(FIND($K$1,总课表!T21)&gt;0,总课表!T21,""))</f>
        <v/>
      </c>
      <c r="U21" s="14" t="str">
        <f>IF(ISERROR(IF(FIND($K$1,总课表!U21)&gt;1,总课表!U21,"")),"",IF(FIND($K$1,总课表!U21)&gt;0,总课表!U21,""))</f>
        <v/>
      </c>
      <c r="V21" s="14" t="str">
        <f>IF(ISERROR(IF(FIND($K$1,总课表!V21)&gt;1,总课表!V21,"")),"",IF(FIND($K$1,总课表!V21)&gt;0,总课表!V21,""))</f>
        <v/>
      </c>
      <c r="W21" s="14" t="str">
        <f>IF(ISERROR(IF(FIND($K$1,总课表!W21)&gt;1,总课表!W21,"")),"",IF(FIND($K$1,总课表!W21)&gt;0,总课表!W21,""))</f>
        <v/>
      </c>
      <c r="X21" s="14" t="str">
        <f>IF(ISERROR(IF(FIND($K$1,总课表!X21)&gt;1,总课表!X21,"")),"",IF(FIND($K$1,总课表!X21)&gt;0,总课表!X21,""))</f>
        <v/>
      </c>
      <c r="Y21" s="14" t="str">
        <f>IF(ISERROR(IF(FIND($K$1,总课表!Y21)&gt;1,总课表!Y21,"")),"",IF(FIND($K$1,总课表!Y21)&gt;0,总课表!Y21,""))</f>
        <v/>
      </c>
      <c r="Z21" s="14" t="str">
        <f>IF(ISERROR(IF(FIND($K$1,总课表!Z21)&gt;1,总课表!Z21,"")),"",IF(FIND($K$1,总课表!Z21)&gt;0,总课表!Z21,""))</f>
        <v/>
      </c>
      <c r="AA21" s="14" t="str">
        <f>IF(ISERROR(IF(FIND($K$1,总课表!AA21)&gt;1,总课表!AA21,"")),"",IF(FIND($K$1,总课表!AA21)&gt;0,总课表!AA21,""))</f>
        <v/>
      </c>
      <c r="AB21" s="14" t="str">
        <f>IF(ISERROR(IF(FIND($K$1,总课表!AB21)&gt;1,总课表!AB21,"")),"",IF(FIND($K$1,总课表!AB21)&gt;0,总课表!AB21,""))</f>
        <v/>
      </c>
      <c r="AC21" s="14" t="str">
        <f>IF(ISERROR(IF(FIND($K$1,总课表!AC21)&gt;1,总课表!AC21,"")),"",IF(FIND($K$1,总课表!AC21)&gt;0,总课表!AC21,""))</f>
        <v/>
      </c>
    </row>
    <row r="22" spans="1:29" ht="48.9" customHeight="1">
      <c r="A22" s="13" t="str">
        <f>总课表!A22</f>
        <v>23学前教育2</v>
      </c>
      <c r="B22" s="12">
        <f>总课表!B22</f>
        <v>54</v>
      </c>
      <c r="C22" s="14" t="str">
        <f>IF(ISERROR(IF(FIND($K$1,总课表!C22)&gt;1,总课表!C22,"")),"",IF(FIND($K$1,总课表!C22)&gt;0,总课表!C22,""))</f>
        <v/>
      </c>
      <c r="D22" s="14" t="str">
        <f>IF(ISERROR(IF(FIND($K$1,总课表!D22)&gt;1,总课表!D22,"")),"",IF(FIND($K$1,总课表!D22)&gt;0,总课表!D22,""))</f>
        <v/>
      </c>
      <c r="E22" s="14" t="str">
        <f>IF(ISERROR(IF(FIND($K$1,总课表!E22)&gt;1,总课表!E22,"")),"",IF(FIND($K$1,总课表!E22)&gt;0,总课表!E22,""))</f>
        <v/>
      </c>
      <c r="F22" s="14" t="str">
        <f>IF(ISERROR(IF(FIND($K$1,总课表!F22)&gt;1,总课表!F22,"")),"",IF(FIND($K$1,总课表!F22)&gt;0,总课表!F22,""))</f>
        <v/>
      </c>
      <c r="G22" s="14" t="str">
        <f>IF(ISERROR(IF(FIND($K$1,总课表!G22)&gt;1,总课表!G22,"")),"",IF(FIND($K$1,总课表!G22)&gt;0,总课表!G22,""))</f>
        <v/>
      </c>
      <c r="H22" s="14" t="str">
        <f>IF(ISERROR(IF(FIND($K$1,总课表!H22)&gt;1,总课表!H22,"")),"",IF(FIND($K$1,总课表!H22)&gt;0,总课表!H22,""))</f>
        <v/>
      </c>
      <c r="I22" s="14" t="str">
        <f>IF(ISERROR(IF(FIND($K$1,总课表!I22)&gt;1,总课表!I22,"")),"",IF(FIND($K$1,总课表!I22)&gt;0,总课表!I22,""))</f>
        <v/>
      </c>
      <c r="J22" s="14" t="str">
        <f>IF(ISERROR(IF(FIND($K$1,总课表!J22)&gt;1,总课表!J22,"")),"",IF(FIND($K$1,总课表!J22)&gt;0,总课表!J22,""))</f>
        <v/>
      </c>
      <c r="K22" s="14" t="str">
        <f>IF(ISERROR(IF(FIND($K$1,总课表!K22)&gt;1,总课表!K22,"")),"",IF(FIND($K$1,总课表!K22)&gt;0,总课表!K22,""))</f>
        <v/>
      </c>
      <c r="L22" s="14" t="str">
        <f>IF(ISERROR(IF(FIND($K$1,总课表!L22)&gt;1,总课表!L22,"")),"",IF(FIND($K$1,总课表!L22)&gt;0,总课表!L22,""))</f>
        <v/>
      </c>
      <c r="M22" s="14" t="str">
        <f>IF(ISERROR(IF(FIND($K$1,总课表!M22)&gt;1,总课表!M22,"")),"",IF(FIND($K$1,总课表!M22)&gt;0,总课表!M22,""))</f>
        <v/>
      </c>
      <c r="N22" s="14" t="str">
        <f>IF(ISERROR(IF(FIND($K$1,总课表!N22)&gt;1,总课表!N22,"")),"",IF(FIND($K$1,总课表!N22)&gt;0,总课表!N22,""))</f>
        <v/>
      </c>
      <c r="O22" s="14" t="str">
        <f>IF(ISERROR(IF(FIND($K$1,总课表!O22)&gt;1,总课表!O22,"")),"",IF(FIND($K$1,总课表!O22)&gt;0,总课表!O22,""))</f>
        <v/>
      </c>
      <c r="P22" s="14" t="str">
        <f>IF(ISERROR(IF(FIND($K$1,总课表!P22)&gt;1,总课表!P22,"")),"",IF(FIND($K$1,总课表!P22)&gt;0,总课表!P22,""))</f>
        <v/>
      </c>
      <c r="Q22" s="14" t="str">
        <f>IF(ISERROR(IF(FIND($K$1,总课表!Q22)&gt;1,总课表!Q22,"")),"",IF(FIND($K$1,总课表!Q22)&gt;0,总课表!Q22,""))</f>
        <v/>
      </c>
      <c r="R22" s="14" t="str">
        <f>IF(ISERROR(IF(FIND($K$1,总课表!R22)&gt;1,总课表!R22,"")),"",IF(FIND($K$1,总课表!R22)&gt;0,总课表!R22,""))</f>
        <v/>
      </c>
      <c r="S22" s="14" t="str">
        <f>IF(ISERROR(IF(FIND($K$1,总课表!S22)&gt;1,总课表!S22,"")),"",IF(FIND($K$1,总课表!S22)&gt;0,总课表!S22,""))</f>
        <v/>
      </c>
      <c r="T22" s="14" t="str">
        <f>IF(ISERROR(IF(FIND($K$1,总课表!T22)&gt;1,总课表!T22,"")),"",IF(FIND($K$1,总课表!T22)&gt;0,总课表!T22,""))</f>
        <v/>
      </c>
      <c r="U22" s="14" t="str">
        <f>IF(ISERROR(IF(FIND($K$1,总课表!U22)&gt;1,总课表!U22,"")),"",IF(FIND($K$1,总课表!U22)&gt;0,总课表!U22,""))</f>
        <v/>
      </c>
      <c r="V22" s="14" t="str">
        <f>IF(ISERROR(IF(FIND($K$1,总课表!V22)&gt;1,总课表!V22,"")),"",IF(FIND($K$1,总课表!V22)&gt;0,总课表!V22,""))</f>
        <v/>
      </c>
      <c r="W22" s="14" t="str">
        <f>IF(ISERROR(IF(FIND($K$1,总课表!W22)&gt;1,总课表!W22,"")),"",IF(FIND($K$1,总课表!W22)&gt;0,总课表!W22,""))</f>
        <v/>
      </c>
      <c r="X22" s="14" t="str">
        <f>IF(ISERROR(IF(FIND($K$1,总课表!X22)&gt;1,总课表!X22,"")),"",IF(FIND($K$1,总课表!X22)&gt;0,总课表!X22,""))</f>
        <v/>
      </c>
      <c r="Y22" s="14" t="str">
        <f>IF(ISERROR(IF(FIND($K$1,总课表!Y22)&gt;1,总课表!Y22,"")),"",IF(FIND($K$1,总课表!Y22)&gt;0,总课表!Y22,""))</f>
        <v/>
      </c>
      <c r="Z22" s="14" t="str">
        <f>IF(ISERROR(IF(FIND($K$1,总课表!Z22)&gt;1,总课表!Z22,"")),"",IF(FIND($K$1,总课表!Z22)&gt;0,总课表!Z22,""))</f>
        <v/>
      </c>
      <c r="AA22" s="14" t="str">
        <f>IF(ISERROR(IF(FIND($K$1,总课表!AA22)&gt;1,总课表!AA22,"")),"",IF(FIND($K$1,总课表!AA22)&gt;0,总课表!AA22,""))</f>
        <v/>
      </c>
      <c r="AB22" s="14" t="str">
        <f>IF(ISERROR(IF(FIND($K$1,总课表!AB22)&gt;1,总课表!AB22,"")),"",IF(FIND($K$1,总课表!AB22)&gt;0,总课表!AB22,""))</f>
        <v/>
      </c>
      <c r="AC22" s="14" t="str">
        <f>IF(ISERROR(IF(FIND($K$1,总课表!AC22)&gt;1,总课表!AC22,"")),"",IF(FIND($K$1,总课表!AC22)&gt;0,总课表!AC22,""))</f>
        <v/>
      </c>
    </row>
    <row r="23" spans="1:29" ht="48.9" customHeight="1">
      <c r="A23" s="13" t="str">
        <f>总课表!A23</f>
        <v>23学前教育3</v>
      </c>
      <c r="B23" s="12">
        <f>总课表!B23</f>
        <v>54</v>
      </c>
      <c r="C23" s="14" t="str">
        <f>IF(ISERROR(IF(FIND($K$1,总课表!C23)&gt;1,总课表!C23,"")),"",IF(FIND($K$1,总课表!C23)&gt;0,总课表!C23,""))</f>
        <v/>
      </c>
      <c r="D23" s="14" t="str">
        <f>IF(ISERROR(IF(FIND($K$1,总课表!D23)&gt;1,总课表!D23,"")),"",IF(FIND($K$1,总课表!D23)&gt;0,总课表!D23,""))</f>
        <v/>
      </c>
      <c r="E23" s="14" t="str">
        <f>IF(ISERROR(IF(FIND($K$1,总课表!E23)&gt;1,总课表!E23,"")),"",IF(FIND($K$1,总课表!E23)&gt;0,总课表!E23,""))</f>
        <v/>
      </c>
      <c r="F23" s="14" t="str">
        <f>IF(ISERROR(IF(FIND($K$1,总课表!F23)&gt;1,总课表!F23,"")),"",IF(FIND($K$1,总课表!F23)&gt;0,总课表!F23,""))</f>
        <v/>
      </c>
      <c r="G23" s="14" t="str">
        <f>IF(ISERROR(IF(FIND($K$1,总课表!G23)&gt;1,总课表!G23,"")),"",IF(FIND($K$1,总课表!G23)&gt;0,总课表!G23,""))</f>
        <v/>
      </c>
      <c r="H23" s="14" t="str">
        <f>IF(ISERROR(IF(FIND($K$1,总课表!H23)&gt;1,总课表!H23,"")),"",IF(FIND($K$1,总课表!H23)&gt;0,总课表!H23,""))</f>
        <v/>
      </c>
      <c r="I23" s="14" t="str">
        <f>IF(ISERROR(IF(FIND($K$1,总课表!I23)&gt;1,总课表!I23,"")),"",IF(FIND($K$1,总课表!I23)&gt;0,总课表!I23,""))</f>
        <v/>
      </c>
      <c r="J23" s="14" t="str">
        <f>IF(ISERROR(IF(FIND($K$1,总课表!J23)&gt;1,总课表!J23,"")),"",IF(FIND($K$1,总课表!J23)&gt;0,总课表!J23,""))</f>
        <v/>
      </c>
      <c r="K23" s="14" t="str">
        <f>IF(ISERROR(IF(FIND($K$1,总课表!K23)&gt;1,总课表!K23,"")),"",IF(FIND($K$1,总课表!K23)&gt;0,总课表!K23,""))</f>
        <v/>
      </c>
      <c r="L23" s="14" t="str">
        <f>IF(ISERROR(IF(FIND($K$1,总课表!L23)&gt;1,总课表!L23,"")),"",IF(FIND($K$1,总课表!L23)&gt;0,总课表!L23,""))</f>
        <v/>
      </c>
      <c r="M23" s="14" t="str">
        <f>IF(ISERROR(IF(FIND($K$1,总课表!M23)&gt;1,总课表!M23,"")),"",IF(FIND($K$1,总课表!M23)&gt;0,总课表!M23,""))</f>
        <v/>
      </c>
      <c r="N23" s="14" t="str">
        <f>IF(ISERROR(IF(FIND($K$1,总课表!N23)&gt;1,总课表!N23,"")),"",IF(FIND($K$1,总课表!N23)&gt;0,总课表!N23,""))</f>
        <v/>
      </c>
      <c r="O23" s="14" t="str">
        <f>IF(ISERROR(IF(FIND($K$1,总课表!O23)&gt;1,总课表!O23,"")),"",IF(FIND($K$1,总课表!O23)&gt;0,总课表!O23,""))</f>
        <v/>
      </c>
      <c r="P23" s="14" t="str">
        <f>IF(ISERROR(IF(FIND($K$1,总课表!P23)&gt;1,总课表!P23,"")),"",IF(FIND($K$1,总课表!P23)&gt;0,总课表!P23,""))</f>
        <v/>
      </c>
      <c r="Q23" s="14" t="str">
        <f>IF(ISERROR(IF(FIND($K$1,总课表!Q23)&gt;1,总课表!Q23,"")),"",IF(FIND($K$1,总课表!Q23)&gt;0,总课表!Q23,""))</f>
        <v/>
      </c>
      <c r="R23" s="14" t="str">
        <f>IF(ISERROR(IF(FIND($K$1,总课表!R23)&gt;1,总课表!R23,"")),"",IF(FIND($K$1,总课表!R23)&gt;0,总课表!R23,""))</f>
        <v/>
      </c>
      <c r="S23" s="14" t="str">
        <f>IF(ISERROR(IF(FIND($K$1,总课表!S23)&gt;1,总课表!S23,"")),"",IF(FIND($K$1,总课表!S23)&gt;0,总课表!S23,""))</f>
        <v/>
      </c>
      <c r="T23" s="14" t="str">
        <f>IF(ISERROR(IF(FIND($K$1,总课表!T23)&gt;1,总课表!T23,"")),"",IF(FIND($K$1,总课表!T23)&gt;0,总课表!T23,""))</f>
        <v/>
      </c>
      <c r="U23" s="14" t="str">
        <f>IF(ISERROR(IF(FIND($K$1,总课表!U23)&gt;1,总课表!U23,"")),"",IF(FIND($K$1,总课表!U23)&gt;0,总课表!U23,""))</f>
        <v/>
      </c>
      <c r="V23" s="14" t="str">
        <f>IF(ISERROR(IF(FIND($K$1,总课表!V23)&gt;1,总课表!V23,"")),"",IF(FIND($K$1,总课表!V23)&gt;0,总课表!V23,""))</f>
        <v/>
      </c>
      <c r="W23" s="14" t="str">
        <f>IF(ISERROR(IF(FIND($K$1,总课表!W23)&gt;1,总课表!W23,"")),"",IF(FIND($K$1,总课表!W23)&gt;0,总课表!W23,""))</f>
        <v/>
      </c>
      <c r="X23" s="14" t="str">
        <f>IF(ISERROR(IF(FIND($K$1,总课表!X23)&gt;1,总课表!X23,"")),"",IF(FIND($K$1,总课表!X23)&gt;0,总课表!X23,""))</f>
        <v/>
      </c>
      <c r="Y23" s="14" t="str">
        <f>IF(ISERROR(IF(FIND($K$1,总课表!Y23)&gt;1,总课表!Y23,"")),"",IF(FIND($K$1,总课表!Y23)&gt;0,总课表!Y23,""))</f>
        <v/>
      </c>
      <c r="Z23" s="14" t="str">
        <f>IF(ISERROR(IF(FIND($K$1,总课表!Z23)&gt;1,总课表!Z23,"")),"",IF(FIND($K$1,总课表!Z23)&gt;0,总课表!Z23,""))</f>
        <v/>
      </c>
      <c r="AA23" s="14" t="str">
        <f>IF(ISERROR(IF(FIND($K$1,总课表!AA23)&gt;1,总课表!AA23,"")),"",IF(FIND($K$1,总课表!AA23)&gt;0,总课表!AA23,""))</f>
        <v/>
      </c>
      <c r="AB23" s="14" t="str">
        <f>IF(ISERROR(IF(FIND($K$1,总课表!AB23)&gt;1,总课表!AB23,"")),"",IF(FIND($K$1,总课表!AB23)&gt;0,总课表!AB23,""))</f>
        <v/>
      </c>
      <c r="AC23" s="14" t="str">
        <f>IF(ISERROR(IF(FIND($K$1,总课表!AC23)&gt;1,总课表!AC23,"")),"",IF(FIND($K$1,总课表!AC23)&gt;0,总课表!AC23,""))</f>
        <v/>
      </c>
    </row>
    <row r="24" spans="1:29" ht="48.9" customHeight="1">
      <c r="A24" s="13" t="str">
        <f>总课表!A24</f>
        <v>23学前教育5</v>
      </c>
      <c r="B24" s="12">
        <f>总课表!B24</f>
        <v>54</v>
      </c>
      <c r="C24" s="14" t="str">
        <f>IF(ISERROR(IF(FIND($K$1,总课表!C24)&gt;1,总课表!C24,"")),"",IF(FIND($K$1,总课表!C24)&gt;0,总课表!C24,""))</f>
        <v/>
      </c>
      <c r="D24" s="14" t="str">
        <f>IF(ISERROR(IF(FIND($K$1,总课表!D24)&gt;1,总课表!D24,"")),"",IF(FIND($K$1,总课表!D24)&gt;0,总课表!D24,""))</f>
        <v/>
      </c>
      <c r="E24" s="14" t="str">
        <f>IF(ISERROR(IF(FIND($K$1,总课表!E24)&gt;1,总课表!E24,"")),"",IF(FIND($K$1,总课表!E24)&gt;0,总课表!E24,""))</f>
        <v/>
      </c>
      <c r="F24" s="14" t="str">
        <f>IF(ISERROR(IF(FIND($K$1,总课表!F24)&gt;1,总课表!F24,"")),"",IF(FIND($K$1,总课表!F24)&gt;0,总课表!F24,""))</f>
        <v/>
      </c>
      <c r="G24" s="14" t="str">
        <f>IF(ISERROR(IF(FIND($K$1,总课表!G24)&gt;1,总课表!G24,"")),"",IF(FIND($K$1,总课表!G24)&gt;0,总课表!G24,""))</f>
        <v/>
      </c>
      <c r="H24" s="14" t="str">
        <f>IF(ISERROR(IF(FIND($K$1,总课表!H24)&gt;1,总课表!H24,"")),"",IF(FIND($K$1,总课表!H24)&gt;0,总课表!H24,""))</f>
        <v/>
      </c>
      <c r="I24" s="14" t="str">
        <f>IF(ISERROR(IF(FIND($K$1,总课表!I24)&gt;1,总课表!I24,"")),"",IF(FIND($K$1,总课表!I24)&gt;0,总课表!I24,""))</f>
        <v/>
      </c>
      <c r="J24" s="14" t="str">
        <f>IF(ISERROR(IF(FIND($K$1,总课表!J24)&gt;1,总课表!J24,"")),"",IF(FIND($K$1,总课表!J24)&gt;0,总课表!J24,""))</f>
        <v/>
      </c>
      <c r="K24" s="14" t="str">
        <f>IF(ISERROR(IF(FIND($K$1,总课表!K24)&gt;1,总课表!K24,"")),"",IF(FIND($K$1,总课表!K24)&gt;0,总课表!K24,""))</f>
        <v/>
      </c>
      <c r="L24" s="14" t="str">
        <f>IF(ISERROR(IF(FIND($K$1,总课表!L24)&gt;1,总课表!L24,"")),"",IF(FIND($K$1,总课表!L24)&gt;0,总课表!L24,""))</f>
        <v/>
      </c>
      <c r="M24" s="14" t="str">
        <f>IF(ISERROR(IF(FIND($K$1,总课表!M24)&gt;1,总课表!M24,"")),"",IF(FIND($K$1,总课表!M24)&gt;0,总课表!M24,""))</f>
        <v/>
      </c>
      <c r="N24" s="14" t="str">
        <f>IF(ISERROR(IF(FIND($K$1,总课表!N24)&gt;1,总课表!N24,"")),"",IF(FIND($K$1,总课表!N24)&gt;0,总课表!N24,""))</f>
        <v/>
      </c>
      <c r="O24" s="14" t="str">
        <f>IF(ISERROR(IF(FIND($K$1,总课表!O24)&gt;1,总课表!O24,"")),"",IF(FIND($K$1,总课表!O24)&gt;0,总课表!O24,""))</f>
        <v/>
      </c>
      <c r="P24" s="14" t="str">
        <f>IF(ISERROR(IF(FIND($K$1,总课表!P24)&gt;1,总课表!P24,"")),"",IF(FIND($K$1,总课表!P24)&gt;0,总课表!P24,""))</f>
        <v/>
      </c>
      <c r="Q24" s="14" t="str">
        <f>IF(ISERROR(IF(FIND($K$1,总课表!Q24)&gt;1,总课表!Q24,"")),"",IF(FIND($K$1,总课表!Q24)&gt;0,总课表!Q24,""))</f>
        <v/>
      </c>
      <c r="R24" s="14" t="str">
        <f>IF(ISERROR(IF(FIND($K$1,总课表!R24)&gt;1,总课表!R24,"")),"",IF(FIND($K$1,总课表!R24)&gt;0,总课表!R24,""))</f>
        <v/>
      </c>
      <c r="S24" s="14" t="str">
        <f>IF(ISERROR(IF(FIND($K$1,总课表!S24)&gt;1,总课表!S24,"")),"",IF(FIND($K$1,总课表!S24)&gt;0,总课表!S24,""))</f>
        <v/>
      </c>
      <c r="T24" s="14" t="str">
        <f>IF(ISERROR(IF(FIND($K$1,总课表!T24)&gt;1,总课表!T24,"")),"",IF(FIND($K$1,总课表!T24)&gt;0,总课表!T24,""))</f>
        <v/>
      </c>
      <c r="U24" s="14" t="str">
        <f>IF(ISERROR(IF(FIND($K$1,总课表!U24)&gt;1,总课表!U24,"")),"",IF(FIND($K$1,总课表!U24)&gt;0,总课表!U24,""))</f>
        <v/>
      </c>
      <c r="V24" s="14" t="str">
        <f>IF(ISERROR(IF(FIND($K$1,总课表!V24)&gt;1,总课表!V24,"")),"",IF(FIND($K$1,总课表!V24)&gt;0,总课表!V24,""))</f>
        <v/>
      </c>
      <c r="W24" s="14" t="str">
        <f>IF(ISERROR(IF(FIND($K$1,总课表!W24)&gt;1,总课表!W24,"")),"",IF(FIND($K$1,总课表!W24)&gt;0,总课表!W24,""))</f>
        <v/>
      </c>
      <c r="X24" s="14" t="str">
        <f>IF(ISERROR(IF(FIND($K$1,总课表!X24)&gt;1,总课表!X24,"")),"",IF(FIND($K$1,总课表!X24)&gt;0,总课表!X24,""))</f>
        <v/>
      </c>
      <c r="Y24" s="14" t="str">
        <f>IF(ISERROR(IF(FIND($K$1,总课表!Y24)&gt;1,总课表!Y24,"")),"",IF(FIND($K$1,总课表!Y24)&gt;0,总课表!Y24,""))</f>
        <v/>
      </c>
      <c r="Z24" s="14" t="str">
        <f>IF(ISERROR(IF(FIND($K$1,总课表!Z24)&gt;1,总课表!Z24,"")),"",IF(FIND($K$1,总课表!Z24)&gt;0,总课表!Z24,""))</f>
        <v/>
      </c>
      <c r="AA24" s="14" t="str">
        <f>IF(ISERROR(IF(FIND($K$1,总课表!AA24)&gt;1,总课表!AA24,"")),"",IF(FIND($K$1,总课表!AA24)&gt;0,总课表!AA24,""))</f>
        <v/>
      </c>
      <c r="AB24" s="14" t="str">
        <f>IF(ISERROR(IF(FIND($K$1,总课表!AB24)&gt;1,总课表!AB24,"")),"",IF(FIND($K$1,总课表!AB24)&gt;0,总课表!AB24,""))</f>
        <v/>
      </c>
      <c r="AC24" s="14" t="str">
        <f>IF(ISERROR(IF(FIND($K$1,总课表!AC24)&gt;1,总课表!AC24,"")),"",IF(FIND($K$1,总课表!AC24)&gt;0,总课表!AC24,""))</f>
        <v/>
      </c>
    </row>
    <row r="25" spans="1:29" ht="48.9" customHeight="1">
      <c r="A25" s="13" t="str">
        <f>总课表!A25</f>
        <v>23学前教育6</v>
      </c>
      <c r="B25" s="12">
        <f>总课表!B25</f>
        <v>50</v>
      </c>
      <c r="C25" s="14" t="str">
        <f>IF(ISERROR(IF(FIND($K$1,总课表!C25)&gt;1,总课表!C25,"")),"",IF(FIND($K$1,总课表!C25)&gt;0,总课表!C25,""))</f>
        <v/>
      </c>
      <c r="D25" s="14" t="str">
        <f>IF(ISERROR(IF(FIND($K$1,总课表!D25)&gt;1,总课表!D25,"")),"",IF(FIND($K$1,总课表!D25)&gt;0,总课表!D25,""))</f>
        <v/>
      </c>
      <c r="E25" s="14" t="str">
        <f>IF(ISERROR(IF(FIND($K$1,总课表!E25)&gt;1,总课表!E25,"")),"",IF(FIND($K$1,总课表!E25)&gt;0,总课表!E25,""))</f>
        <v/>
      </c>
      <c r="F25" s="14" t="str">
        <f>IF(ISERROR(IF(FIND($K$1,总课表!F25)&gt;1,总课表!F25,"")),"",IF(FIND($K$1,总课表!F25)&gt;0,总课表!F25,""))</f>
        <v/>
      </c>
      <c r="G25" s="14" t="str">
        <f>IF(ISERROR(IF(FIND($K$1,总课表!G25)&gt;1,总课表!G25,"")),"",IF(FIND($K$1,总课表!G25)&gt;0,总课表!G25,""))</f>
        <v/>
      </c>
      <c r="H25" s="14" t="str">
        <f>IF(ISERROR(IF(FIND($K$1,总课表!H25)&gt;1,总课表!H25,"")),"",IF(FIND($K$1,总课表!H25)&gt;0,总课表!H25,""))</f>
        <v/>
      </c>
      <c r="I25" s="14" t="str">
        <f>IF(ISERROR(IF(FIND($K$1,总课表!I25)&gt;1,总课表!I25,"")),"",IF(FIND($K$1,总课表!I25)&gt;0,总课表!I25,""))</f>
        <v/>
      </c>
      <c r="J25" s="14" t="str">
        <f>IF(ISERROR(IF(FIND($K$1,总课表!J25)&gt;1,总课表!J25,"")),"",IF(FIND($K$1,总课表!J25)&gt;0,总课表!J25,""))</f>
        <v/>
      </c>
      <c r="K25" s="14" t="str">
        <f>IF(ISERROR(IF(FIND($K$1,总课表!K25)&gt;1,总课表!K25,"")),"",IF(FIND($K$1,总课表!K25)&gt;0,总课表!K25,""))</f>
        <v/>
      </c>
      <c r="L25" s="14" t="str">
        <f>IF(ISERROR(IF(FIND($K$1,总课表!L25)&gt;1,总课表!L25,"")),"",IF(FIND($K$1,总课表!L25)&gt;0,总课表!L25,""))</f>
        <v/>
      </c>
      <c r="M25" s="14" t="str">
        <f>IF(ISERROR(IF(FIND($K$1,总课表!M25)&gt;1,总课表!M25,"")),"",IF(FIND($K$1,总课表!M25)&gt;0,总课表!M25,""))</f>
        <v/>
      </c>
      <c r="N25" s="14" t="str">
        <f>IF(ISERROR(IF(FIND($K$1,总课表!N25)&gt;1,总课表!N25,"")),"",IF(FIND($K$1,总课表!N25)&gt;0,总课表!N25,""))</f>
        <v/>
      </c>
      <c r="O25" s="14" t="str">
        <f>IF(ISERROR(IF(FIND($K$1,总课表!O25)&gt;1,总课表!O25,"")),"",IF(FIND($K$1,总课表!O25)&gt;0,总课表!O25,""))</f>
        <v/>
      </c>
      <c r="P25" s="14" t="str">
        <f>IF(ISERROR(IF(FIND($K$1,总课表!P25)&gt;1,总课表!P25,"")),"",IF(FIND($K$1,总课表!P25)&gt;0,总课表!P25,""))</f>
        <v/>
      </c>
      <c r="Q25" s="14" t="str">
        <f>IF(ISERROR(IF(FIND($K$1,总课表!Q25)&gt;1,总课表!Q25,"")),"",IF(FIND($K$1,总课表!Q25)&gt;0,总课表!Q25,""))</f>
        <v/>
      </c>
      <c r="R25" s="14" t="str">
        <f>IF(ISERROR(IF(FIND($K$1,总课表!R25)&gt;1,总课表!R25,"")),"",IF(FIND($K$1,总课表!R25)&gt;0,总课表!R25,""))</f>
        <v/>
      </c>
      <c r="S25" s="14" t="str">
        <f>IF(ISERROR(IF(FIND($K$1,总课表!S25)&gt;1,总课表!S25,"")),"",IF(FIND($K$1,总课表!S25)&gt;0,总课表!S25,""))</f>
        <v/>
      </c>
      <c r="T25" s="14" t="str">
        <f>IF(ISERROR(IF(FIND($K$1,总课表!T25)&gt;1,总课表!T25,"")),"",IF(FIND($K$1,总课表!T25)&gt;0,总课表!T25,""))</f>
        <v/>
      </c>
      <c r="U25" s="14" t="str">
        <f>IF(ISERROR(IF(FIND($K$1,总课表!U25)&gt;1,总课表!U25,"")),"",IF(FIND($K$1,总课表!U25)&gt;0,总课表!U25,""))</f>
        <v/>
      </c>
      <c r="V25" s="14" t="str">
        <f>IF(ISERROR(IF(FIND($K$1,总课表!V25)&gt;1,总课表!V25,"")),"",IF(FIND($K$1,总课表!V25)&gt;0,总课表!V25,""))</f>
        <v/>
      </c>
      <c r="W25" s="14" t="str">
        <f>IF(ISERROR(IF(FIND($K$1,总课表!W25)&gt;1,总课表!W25,"")),"",IF(FIND($K$1,总课表!W25)&gt;0,总课表!W25,""))</f>
        <v/>
      </c>
      <c r="X25" s="14" t="str">
        <f>IF(ISERROR(IF(FIND($K$1,总课表!X25)&gt;1,总课表!X25,"")),"",IF(FIND($K$1,总课表!X25)&gt;0,总课表!X25,""))</f>
        <v/>
      </c>
      <c r="Y25" s="14" t="str">
        <f>IF(ISERROR(IF(FIND($K$1,总课表!Y25)&gt;1,总课表!Y25,"")),"",IF(FIND($K$1,总课表!Y25)&gt;0,总课表!Y25,""))</f>
        <v/>
      </c>
      <c r="Z25" s="14" t="str">
        <f>IF(ISERROR(IF(FIND($K$1,总课表!Z25)&gt;1,总课表!Z25,"")),"",IF(FIND($K$1,总课表!Z25)&gt;0,总课表!Z25,""))</f>
        <v/>
      </c>
      <c r="AA25" s="14" t="str">
        <f>IF(ISERROR(IF(FIND($K$1,总课表!AA25)&gt;1,总课表!AA25,"")),"",IF(FIND($K$1,总课表!AA25)&gt;0,总课表!AA25,""))</f>
        <v/>
      </c>
      <c r="AB25" s="14" t="str">
        <f>IF(ISERROR(IF(FIND($K$1,总课表!AB25)&gt;1,总课表!AB25,"")),"",IF(FIND($K$1,总课表!AB25)&gt;0,总课表!AB25,""))</f>
        <v/>
      </c>
      <c r="AC25" s="14" t="str">
        <f>IF(ISERROR(IF(FIND($K$1,总课表!AC25)&gt;1,总课表!AC25,"")),"",IF(FIND($K$1,总课表!AC25)&gt;0,总课表!AC25,""))</f>
        <v/>
      </c>
    </row>
  </sheetData>
  <mergeCells count="1">
    <mergeCell ref="K1:M1"/>
  </mergeCells>
  <phoneticPr fontId="43" type="noConversion"/>
  <pageMargins left="0.23622047244094499" right="0.23622047244094499" top="0.35433070866141703" bottom="0.35433070866141703" header="0.31496062992126" footer="0.31496062992126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教师姓名!$A$1:$A$12</xm:f>
          </x14:formula1>
          <xm:sqref>K1:M1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>
      <selection activeCell="B22" sqref="B22"/>
    </sheetView>
  </sheetViews>
  <sheetFormatPr defaultColWidth="9" defaultRowHeight="13"/>
  <cols>
    <col min="1" max="1" width="24.5" style="5" customWidth="1"/>
    <col min="2" max="2" width="19.09765625" style="5" customWidth="1"/>
    <col min="3" max="3" width="18.3984375" style="5" customWidth="1"/>
  </cols>
  <sheetData>
    <row r="1" spans="1:3">
      <c r="A1" s="6" t="s">
        <v>29</v>
      </c>
      <c r="B1" s="7" t="s">
        <v>128</v>
      </c>
      <c r="C1" s="8" t="s">
        <v>129</v>
      </c>
    </row>
    <row r="2" spans="1:3">
      <c r="A2" s="6" t="s">
        <v>44</v>
      </c>
      <c r="B2" s="7" t="s">
        <v>128</v>
      </c>
      <c r="C2" s="8" t="s">
        <v>129</v>
      </c>
    </row>
    <row r="3" spans="1:3">
      <c r="A3" s="6" t="s">
        <v>45</v>
      </c>
      <c r="B3" s="7" t="s">
        <v>130</v>
      </c>
      <c r="C3" s="8" t="s">
        <v>131</v>
      </c>
    </row>
    <row r="4" spans="1:3">
      <c r="A4" s="6" t="s">
        <v>47</v>
      </c>
      <c r="B4" s="7" t="s">
        <v>130</v>
      </c>
      <c r="C4" s="8" t="s">
        <v>131</v>
      </c>
    </row>
    <row r="5" spans="1:3">
      <c r="A5" s="6" t="s">
        <v>51</v>
      </c>
      <c r="B5" s="7" t="s">
        <v>132</v>
      </c>
      <c r="C5" s="8" t="s">
        <v>133</v>
      </c>
    </row>
    <row r="6" spans="1:3">
      <c r="A6" s="6" t="s">
        <v>55</v>
      </c>
      <c r="B6" s="7" t="s">
        <v>132</v>
      </c>
      <c r="C6" s="8" t="s">
        <v>133</v>
      </c>
    </row>
    <row r="7" spans="1:3">
      <c r="A7" s="6" t="s">
        <v>56</v>
      </c>
      <c r="B7" s="7" t="s">
        <v>134</v>
      </c>
      <c r="C7" s="8" t="s">
        <v>135</v>
      </c>
    </row>
    <row r="8" spans="1:3">
      <c r="A8" s="6" t="s">
        <v>58</v>
      </c>
      <c r="B8" s="7" t="s">
        <v>136</v>
      </c>
      <c r="C8" s="8" t="s">
        <v>137</v>
      </c>
    </row>
    <row r="9" spans="1:3">
      <c r="A9" s="6" t="s">
        <v>60</v>
      </c>
      <c r="B9" s="7" t="s">
        <v>136</v>
      </c>
      <c r="C9" s="8" t="s">
        <v>137</v>
      </c>
    </row>
    <row r="10" spans="1:3">
      <c r="A10" s="6" t="s">
        <v>62</v>
      </c>
      <c r="B10" s="7" t="s">
        <v>138</v>
      </c>
      <c r="C10" s="8" t="s">
        <v>139</v>
      </c>
    </row>
    <row r="11" spans="1:3">
      <c r="A11" s="6" t="s">
        <v>64</v>
      </c>
      <c r="B11" s="7" t="s">
        <v>140</v>
      </c>
      <c r="C11" s="8" t="s">
        <v>141</v>
      </c>
    </row>
    <row r="12" spans="1:3">
      <c r="A12" s="6" t="s">
        <v>67</v>
      </c>
      <c r="B12" s="7" t="s">
        <v>142</v>
      </c>
      <c r="C12" s="8" t="s">
        <v>143</v>
      </c>
    </row>
    <row r="13" spans="1:3">
      <c r="A13" s="6" t="s">
        <v>69</v>
      </c>
      <c r="B13" s="7" t="s">
        <v>142</v>
      </c>
      <c r="C13" s="8" t="s">
        <v>143</v>
      </c>
    </row>
    <row r="14" spans="1:3">
      <c r="A14" s="6" t="s">
        <v>70</v>
      </c>
      <c r="B14" s="7" t="s">
        <v>144</v>
      </c>
      <c r="C14" s="8" t="s">
        <v>145</v>
      </c>
    </row>
    <row r="15" spans="1:3">
      <c r="A15" s="6" t="s">
        <v>72</v>
      </c>
      <c r="B15" s="7" t="s">
        <v>146</v>
      </c>
      <c r="C15" s="9" t="s">
        <v>147</v>
      </c>
    </row>
    <row r="16" spans="1:3">
      <c r="A16" s="6" t="s">
        <v>78</v>
      </c>
      <c r="B16" s="7" t="s">
        <v>146</v>
      </c>
      <c r="C16" s="8" t="s">
        <v>147</v>
      </c>
    </row>
    <row r="17" spans="1:3">
      <c r="A17" s="6" t="s">
        <v>86</v>
      </c>
      <c r="B17" s="7" t="s">
        <v>148</v>
      </c>
      <c r="C17" s="9" t="s">
        <v>149</v>
      </c>
    </row>
    <row r="18" spans="1:3">
      <c r="A18" s="6" t="s">
        <v>90</v>
      </c>
      <c r="B18" s="7" t="s">
        <v>150</v>
      </c>
      <c r="C18" s="9" t="s">
        <v>151</v>
      </c>
    </row>
    <row r="19" spans="1:3">
      <c r="A19" s="6" t="s">
        <v>98</v>
      </c>
      <c r="B19" s="7" t="s">
        <v>152</v>
      </c>
      <c r="C19" s="8" t="s">
        <v>153</v>
      </c>
    </row>
    <row r="20" spans="1:3">
      <c r="A20" s="6" t="s">
        <v>53</v>
      </c>
      <c r="B20" s="7" t="s">
        <v>152</v>
      </c>
      <c r="C20" s="9" t="s">
        <v>153</v>
      </c>
    </row>
    <row r="21" spans="1:3">
      <c r="A21" s="6" t="s">
        <v>99</v>
      </c>
      <c r="B21" s="7" t="s">
        <v>154</v>
      </c>
      <c r="C21" s="8" t="s">
        <v>155</v>
      </c>
    </row>
    <row r="22" spans="1:3">
      <c r="A22" s="6" t="s">
        <v>107</v>
      </c>
      <c r="B22" s="7" t="s">
        <v>154</v>
      </c>
      <c r="C22" s="8" t="s">
        <v>155</v>
      </c>
    </row>
    <row r="23" spans="1:3">
      <c r="A23" s="6" t="s">
        <v>88</v>
      </c>
      <c r="B23" s="7" t="s">
        <v>154</v>
      </c>
      <c r="C23" s="8" t="s">
        <v>155</v>
      </c>
    </row>
  </sheetData>
  <phoneticPr fontId="4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6"/>
  <sheetViews>
    <sheetView tabSelected="1" workbookViewId="0">
      <selection activeCell="B10" sqref="B10"/>
    </sheetView>
  </sheetViews>
  <sheetFormatPr defaultColWidth="9" defaultRowHeight="13"/>
  <cols>
    <col min="1" max="1" width="9" style="1"/>
    <col min="2" max="2" width="17.796875" style="1" customWidth="1"/>
    <col min="3" max="3" width="40" style="1" customWidth="1"/>
    <col min="4" max="4" width="9" style="1"/>
    <col min="5" max="5" width="7.3984375" style="1" bestFit="1" customWidth="1"/>
    <col min="6" max="6" width="15.8984375" style="1" bestFit="1" customWidth="1"/>
    <col min="7" max="7" width="14.796875" style="1" bestFit="1" customWidth="1"/>
    <col min="8" max="8" width="11.296875" style="1" customWidth="1"/>
    <col min="9" max="10" width="10.3984375" style="1" bestFit="1" customWidth="1"/>
    <col min="11" max="16384" width="9" style="1"/>
  </cols>
  <sheetData>
    <row r="1" spans="1:11">
      <c r="A1" s="2" t="s">
        <v>156</v>
      </c>
      <c r="B1" s="74">
        <f>2*C1</f>
        <v>32.18</v>
      </c>
      <c r="C1" s="1">
        <f>($E$1-$F$1-$H$1*45)*0.01+$H$1</f>
        <v>16.09</v>
      </c>
      <c r="D1" s="1">
        <v>1</v>
      </c>
      <c r="E1" s="1">
        <f>SUM(总课表!B3:B25)</f>
        <v>1105</v>
      </c>
      <c r="F1" s="1">
        <f>总课表!B18</f>
        <v>46</v>
      </c>
      <c r="G1" s="1">
        <f>SUM(总课表!B3:B18)</f>
        <v>772</v>
      </c>
      <c r="H1" s="1">
        <v>10</v>
      </c>
      <c r="I1" s="1">
        <v>3</v>
      </c>
      <c r="J1" s="1">
        <v>3</v>
      </c>
    </row>
    <row r="2" spans="1:11">
      <c r="A2" s="2" t="s">
        <v>131</v>
      </c>
      <c r="B2" s="74">
        <f t="shared" ref="B2:B8" si="0">2*C2</f>
        <v>32.18</v>
      </c>
      <c r="C2" s="1">
        <f>($E$1-$F$1-$H$1*45)*0.01+$H$1</f>
        <v>16.09</v>
      </c>
      <c r="D2" s="1">
        <v>1</v>
      </c>
      <c r="E2" s="1" t="s">
        <v>201</v>
      </c>
      <c r="F2" s="1" t="s">
        <v>202</v>
      </c>
      <c r="G2" s="1" t="s">
        <v>203</v>
      </c>
      <c r="H2" s="1" t="s">
        <v>204</v>
      </c>
      <c r="I2" s="1" t="s">
        <v>205</v>
      </c>
      <c r="J2" s="1" t="s">
        <v>200</v>
      </c>
    </row>
    <row r="3" spans="1:11">
      <c r="A3" s="3" t="s">
        <v>157</v>
      </c>
      <c r="B3" s="74">
        <f t="shared" si="0"/>
        <v>21.96</v>
      </c>
      <c r="C3" s="1">
        <f>($E$1-$G$1-45*$I$1)*0.01+$I$1+$J$1*2</f>
        <v>10.98</v>
      </c>
    </row>
    <row r="4" spans="1:11">
      <c r="A4" s="3" t="s">
        <v>153</v>
      </c>
      <c r="B4" s="74">
        <f t="shared" si="0"/>
        <v>32.18</v>
      </c>
      <c r="C4" s="1">
        <f>($E$1-$F$1-$H$1*45)*0.01+$H$1</f>
        <v>16.09</v>
      </c>
    </row>
    <row r="5" spans="1:11">
      <c r="A5" s="2" t="s">
        <v>158</v>
      </c>
      <c r="B5" s="74">
        <f t="shared" si="0"/>
        <v>43.92</v>
      </c>
      <c r="C5" s="1">
        <f>2*(($E$1-$G$1-45*$I$1)*0.01+$I$1+$J$1*2)</f>
        <v>21.96</v>
      </c>
    </row>
    <row r="6" spans="1:11">
      <c r="A6" s="3" t="s">
        <v>126</v>
      </c>
      <c r="B6" s="74">
        <f t="shared" si="0"/>
        <v>32.18</v>
      </c>
      <c r="C6" s="1">
        <f>($E$1-$F$1-$H$1*45)*0.01+$H$1</f>
        <v>16.09</v>
      </c>
    </row>
    <row r="7" spans="1:11">
      <c r="A7" s="3" t="s">
        <v>159</v>
      </c>
      <c r="B7" s="74">
        <f t="shared" si="0"/>
        <v>21.96</v>
      </c>
      <c r="C7" s="1">
        <f>($E$1-$G$1-45*$I$1)*0.01+$I$1+$J$1*2</f>
        <v>10.98</v>
      </c>
    </row>
    <row r="8" spans="1:11">
      <c r="A8" s="3" t="s">
        <v>160</v>
      </c>
      <c r="B8" s="74">
        <f t="shared" si="0"/>
        <v>21.96</v>
      </c>
      <c r="C8" s="1">
        <f>($E$1-$G$1-45*$I$1)*0.01+$I$1+$J$1*2</f>
        <v>10.98</v>
      </c>
    </row>
    <row r="9" spans="1:11" s="77" customFormat="1">
      <c r="A9" s="75" t="s">
        <v>182</v>
      </c>
      <c r="B9" s="76">
        <f>2*C9</f>
        <v>68.5</v>
      </c>
      <c r="C9" s="77">
        <f>SUM(D9:G9)</f>
        <v>34.25</v>
      </c>
      <c r="D9" s="77">
        <f>5*((112-45)*0.01+1)</f>
        <v>8.35</v>
      </c>
      <c r="E9" s="77">
        <f>5*((108-45)*0.01+1)</f>
        <v>8.1499999999999986</v>
      </c>
      <c r="F9" s="77">
        <f>5*((141-45)*0.01+1)</f>
        <v>9.8000000000000007</v>
      </c>
      <c r="G9" s="77">
        <f>5*((104-45)*0.01+1)</f>
        <v>7.9499999999999993</v>
      </c>
      <c r="K9" s="77" t="s">
        <v>208</v>
      </c>
    </row>
    <row r="10" spans="1:11" s="77" customFormat="1">
      <c r="A10" s="75" t="s">
        <v>183</v>
      </c>
      <c r="B10" s="76">
        <f>2*C10</f>
        <v>91.800000000000011</v>
      </c>
      <c r="C10" s="77">
        <f>SUM(D10:I10)</f>
        <v>45.900000000000006</v>
      </c>
      <c r="D10" s="77">
        <f>5*((119-45)*0.01+1)</f>
        <v>8.6999999999999993</v>
      </c>
      <c r="E10" s="77">
        <f>5*((103-45)*0.01+1)</f>
        <v>7.9</v>
      </c>
      <c r="F10" s="77">
        <f>5*((86-45)*0.01+1)</f>
        <v>7.0500000000000007</v>
      </c>
      <c r="G10" s="77">
        <f>5*((95-45)*0.01+1)</f>
        <v>7.5</v>
      </c>
      <c r="H10" s="77">
        <f>5*((105-45)*0.01+1)</f>
        <v>8</v>
      </c>
      <c r="I10" s="77">
        <f>5*((80-45)*0.01+1)</f>
        <v>6.75</v>
      </c>
      <c r="K10" s="77" t="s">
        <v>208</v>
      </c>
    </row>
    <row r="66" spans="1:2">
      <c r="A66" s="4"/>
      <c r="B66" s="4"/>
    </row>
  </sheetData>
  <phoneticPr fontId="43" type="noConversion"/>
  <pageMargins left="0.7" right="0.7" top="0.75" bottom="0.75" header="0.3" footer="0.3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总课表</vt:lpstr>
      <vt:lpstr>单班课表</vt:lpstr>
      <vt:lpstr>教师个人课程表</vt:lpstr>
      <vt:lpstr>班会教室</vt:lpstr>
      <vt:lpstr>教师姓名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苑文建</dc:creator>
  <cp:lastModifiedBy>814492192@qq.com</cp:lastModifiedBy>
  <cp:lastPrinted>2019-10-08T18:33:00Z</cp:lastPrinted>
  <dcterms:created xsi:type="dcterms:W3CDTF">2014-08-21T11:33:00Z</dcterms:created>
  <dcterms:modified xsi:type="dcterms:W3CDTF">2023-11-28T11:04:40Z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2052-4.6.1.7467</vt:lpwstr>
  </property>
  <property fmtid="{D5CDD505-2E9C-101B-9397-08002B2CF9AE}" pid="3" name="ICV">
    <vt:lpwstr>311061D57EE625B383C51F65F14E5802</vt:lpwstr>
  </property>
  <property fmtid="{D5CDD505-2E9C-101B-9397-08002B2CF9AE}" pid="4" name="KSOReadingLayout">
    <vt:bool>false</vt:bool>
  </property>
</Properties>
</file>