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raph\tmp\observable\projects\65d2f4b43e87af60c452c03e\2024-2025-2-excel\files\"/>
    </mc:Choice>
  </mc:AlternateContent>
  <xr:revisionPtr revIDLastSave="0" documentId="13_ncr:1_{C1254AEA-E8B4-41D2-842B-AE680F08A8A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下埠校区" sheetId="1" r:id="rId1"/>
  </sheets>
  <calcPr calcId="18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<sst xmlns="http://schemas.openxmlformats.org/spreadsheetml/2006/main" count="114" uniqueCount="65">
  <si>
    <t>序号</t>
  </si>
  <si>
    <t>楼房名称</t>
  </si>
  <si>
    <t>教学场地</t>
  </si>
  <si>
    <t>教室类型</t>
  </si>
  <si>
    <t>容量</t>
  </si>
  <si>
    <t>奇偶列</t>
  </si>
  <si>
    <t>列数</t>
  </si>
  <si>
    <t>投影仪</t>
  </si>
  <si>
    <t>空调</t>
  </si>
  <si>
    <t>风扇</t>
  </si>
  <si>
    <t>讲台</t>
  </si>
  <si>
    <t>备注</t>
  </si>
  <si>
    <t>考场容量</t>
  </si>
  <si>
    <t>下埠实际数据</t>
  </si>
  <si>
    <t>映荷楼</t>
  </si>
  <si>
    <t>报告厅</t>
  </si>
  <si>
    <t>阶梯教室</t>
  </si>
  <si>
    <t>映101</t>
  </si>
  <si>
    <t>普通教室</t>
  </si>
  <si>
    <t>映103</t>
  </si>
  <si>
    <t>映104</t>
  </si>
  <si>
    <t>映201</t>
  </si>
  <si>
    <t>映202</t>
  </si>
  <si>
    <t>映203</t>
  </si>
  <si>
    <t>映204</t>
  </si>
  <si>
    <t>映301</t>
  </si>
  <si>
    <t>映302</t>
  </si>
  <si>
    <t>映303</t>
  </si>
  <si>
    <t>映304</t>
  </si>
  <si>
    <t>映305</t>
  </si>
  <si>
    <t>映402</t>
  </si>
  <si>
    <t>映403</t>
  </si>
  <si>
    <t>映404</t>
  </si>
  <si>
    <t>践行楼</t>
  </si>
  <si>
    <t>践101</t>
  </si>
  <si>
    <t>践102</t>
  </si>
  <si>
    <t>践103</t>
  </si>
  <si>
    <t>践104</t>
  </si>
  <si>
    <t>践201</t>
  </si>
  <si>
    <t>践202</t>
  </si>
  <si>
    <t>践203</t>
  </si>
  <si>
    <t>践401</t>
  </si>
  <si>
    <t>践403</t>
  </si>
  <si>
    <t>140可坐</t>
    <phoneticPr fontId="1" type="noConversion"/>
  </si>
  <si>
    <t>4 7 7 7 7共32</t>
    <phoneticPr fontId="1" type="noConversion"/>
  </si>
  <si>
    <t>6 6 6 6 5共29</t>
    <phoneticPr fontId="1" type="noConversion"/>
  </si>
  <si>
    <t>6 6 6 6 6共30</t>
    <phoneticPr fontId="1" type="noConversion"/>
  </si>
  <si>
    <t>66677共32</t>
    <phoneticPr fontId="1" type="noConversion"/>
  </si>
  <si>
    <t>13 13 11 13 13共63</t>
    <phoneticPr fontId="1" type="noConversion"/>
  </si>
  <si>
    <t>3 6 6 6 5共26</t>
    <phoneticPr fontId="1" type="noConversion"/>
  </si>
  <si>
    <t>4 6 6 6 6共28</t>
    <phoneticPr fontId="1" type="noConversion"/>
  </si>
  <si>
    <t>6 7 7 6共26</t>
    <phoneticPr fontId="1" type="noConversion"/>
  </si>
  <si>
    <t>7  8 8 8 8共39</t>
    <phoneticPr fontId="1" type="noConversion"/>
  </si>
  <si>
    <t>5 3 5 5 5 5共28</t>
    <phoneticPr fontId="1" type="noConversion"/>
  </si>
  <si>
    <t>10 10 10 10 10共50</t>
    <phoneticPr fontId="1" type="noConversion"/>
  </si>
  <si>
    <t>6 7 7 7共27</t>
    <phoneticPr fontId="1" type="noConversion"/>
  </si>
  <si>
    <t>9 8 8 8 7 10 8共58</t>
    <phoneticPr fontId="1" type="noConversion"/>
  </si>
  <si>
    <t>11 11 10 10 10 10共62</t>
    <phoneticPr fontId="1" type="noConversion"/>
  </si>
  <si>
    <t>5 5 10 10 8 9 9共56</t>
    <phoneticPr fontId="1" type="noConversion"/>
  </si>
  <si>
    <t>7 7 10 9 8 11 11共63</t>
    <phoneticPr fontId="1" type="noConversion"/>
  </si>
  <si>
    <t>10 10  7 10 10 10 10共67</t>
    <phoneticPr fontId="1" type="noConversion"/>
  </si>
  <si>
    <t>9 9 6 8 8  8 8共56</t>
    <phoneticPr fontId="1" type="noConversion"/>
  </si>
  <si>
    <t>10 10 9 9 9 9 9共65可坐</t>
    <phoneticPr fontId="1" type="noConversion"/>
  </si>
  <si>
    <t>10 10 9 9 10 10共58</t>
    <phoneticPr fontId="1" type="noConversion"/>
  </si>
  <si>
    <t>8 8 9 9 10 10共54可以坐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</si>
</sst>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34"/>
    </font>
    <font>
      <sz val="11"/>
      <name val="Arial"/>
      <family val="2"/>
    </font>
    <font>
      <b/>
      <sz val="11"/>
      <name val="宋体"/>
      <charset val="134"/>
    </font>
    <font>
      <sz val="11"/>
      <name val="等线"/>
      <charset val="134"/>
    </font>
    <font>
      <sz val="11"/>
      <name val="宋体"/>
      <charset val="134"/>
    </font>
    <font>
      <sz val="11"/>
      <name val="等线"/>
      <family val="3"/>
      <charset val="134"/>
    </font>
    <font>
      <sz val="9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zoomScale="85" zoomScaleNormal="85" workbookViewId="0">
      <selection activeCell="E24" sqref="E24"/>
    </sheetView>
  </sheetViews>
  <sheetFormatPr defaultColWidth="9.140625" defaultRowHeight="20.25" customHeight="1" x14ac:dyDescent="0.2"/>
  <cols>
    <col min="1" max="1" width="6" style="3" customWidth="1"/>
    <col min="2" max="4" width="11.7109375" style="3" customWidth="1"/>
    <col min="5" max="7" width="9" style="3" customWidth="1"/>
    <col min="8" max="11" width="7.85546875" style="3" customWidth="1"/>
    <col min="12" max="12" width="32.5703125" style="4" customWidth="1"/>
    <col min="13" max="13" width="9.140625" style="4"/>
    <col min="14" max="14" width="17.85546875" style="4" customWidth="1"/>
    <col min="15" max="16384" width="9.140625" style="4"/>
  </cols>
  <sheetData>
    <row r="1" spans="1:14" s="1" customFormat="1" ht="26.25" customHeight="1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8" t="s">
        <v>12</v>
      </c>
      <c r="N1" s="8" t="s">
        <v>13</v>
      </c>
    </row>
    <row r="2" spans="1:14" s="1" customFormat="1" ht="26.25" customHeight="1" thickBot="1" x14ac:dyDescent="0.25">
      <c r="A2" s="6">
        <v>1</v>
      </c>
      <c r="B2" s="6" t="s">
        <v>14</v>
      </c>
      <c r="C2" s="6" t="s">
        <v>15</v>
      </c>
      <c r="D2" s="6" t="s">
        <v>16</v>
      </c>
      <c r="E2" s="6">
        <v>270</v>
      </c>
      <c r="F2" s="6" t="str">
        <f>IF(MOD(G2,2),"奇","偶")</f>
        <v>奇</v>
      </c>
      <c r="G2" s="6">
        <v>19</v>
      </c>
      <c r="H2" s="6">
        <v>1</v>
      </c>
      <c r="I2" s="6">
        <v>3</v>
      </c>
      <c r="J2" s="6">
        <v>0</v>
      </c>
      <c r="K2" s="6">
        <v>1</v>
      </c>
      <c r="L2" s="13" t="s">
        <v>43</v>
      </c>
      <c r="M2" s="9">
        <f>N2-2</f>
        <v>138</v>
      </c>
      <c r="N2" s="12">
        <v>140</v>
      </c>
    </row>
    <row r="3" spans="1:14" s="2" customFormat="1" ht="19.5" customHeight="1" thickBot="1" x14ac:dyDescent="0.25">
      <c r="A3" s="6">
        <v>2</v>
      </c>
      <c r="B3" s="6" t="s">
        <v>14</v>
      </c>
      <c r="C3" s="6" t="s">
        <v>17</v>
      </c>
      <c r="D3" s="6" t="s">
        <v>18</v>
      </c>
      <c r="E3" s="6">
        <v>52</v>
      </c>
      <c r="F3" s="6" t="str">
        <f t="shared" ref="F3:F26" si="0">IF(MOD(G3,2),"奇","偶")</f>
        <v>偶</v>
      </c>
      <c r="G3" s="6">
        <v>10</v>
      </c>
      <c r="H3" s="6">
        <v>1</v>
      </c>
      <c r="I3" s="6">
        <v>0</v>
      </c>
      <c r="J3" s="6">
        <v>4</v>
      </c>
      <c r="K3" s="6">
        <v>1</v>
      </c>
      <c r="L3" s="14" t="s">
        <v>44</v>
      </c>
      <c r="M3" s="9">
        <f t="shared" ref="M3:M26" si="1">N3-2</f>
        <v>30</v>
      </c>
      <c r="N3" s="12">
        <v>32</v>
      </c>
    </row>
    <row r="4" spans="1:14" s="2" customFormat="1" ht="19.5" customHeight="1" thickBot="1" x14ac:dyDescent="0.25">
      <c r="A4" s="6">
        <v>3</v>
      </c>
      <c r="B4" s="6" t="s">
        <v>14</v>
      </c>
      <c r="C4" s="6" t="s">
        <v>19</v>
      </c>
      <c r="D4" s="6" t="s">
        <v>18</v>
      </c>
      <c r="E4" s="6">
        <v>55</v>
      </c>
      <c r="F4" s="6" t="str">
        <f t="shared" si="0"/>
        <v>偶</v>
      </c>
      <c r="G4" s="6">
        <v>10</v>
      </c>
      <c r="H4" s="6">
        <v>1</v>
      </c>
      <c r="I4" s="6">
        <v>0</v>
      </c>
      <c r="J4" s="6">
        <v>4</v>
      </c>
      <c r="K4" s="6">
        <v>1</v>
      </c>
      <c r="L4" s="14" t="s">
        <v>45</v>
      </c>
      <c r="M4" s="9">
        <f t="shared" si="1"/>
        <v>27</v>
      </c>
      <c r="N4" s="12">
        <v>29</v>
      </c>
    </row>
    <row r="5" spans="1:14" s="2" customFormat="1" ht="19.5" customHeight="1" thickBot="1" x14ac:dyDescent="0.25">
      <c r="A5" s="6">
        <v>4</v>
      </c>
      <c r="B5" s="6" t="s">
        <v>14</v>
      </c>
      <c r="C5" s="6" t="s">
        <v>20</v>
      </c>
      <c r="D5" s="6" t="s">
        <v>18</v>
      </c>
      <c r="E5" s="6">
        <v>58</v>
      </c>
      <c r="F5" s="6" t="str">
        <f t="shared" si="0"/>
        <v>偶</v>
      </c>
      <c r="G5" s="6">
        <v>10</v>
      </c>
      <c r="H5" s="6">
        <v>1</v>
      </c>
      <c r="I5" s="6">
        <v>0</v>
      </c>
      <c r="J5" s="6">
        <v>4</v>
      </c>
      <c r="K5" s="6">
        <v>1</v>
      </c>
      <c r="L5" s="14" t="s">
        <v>46</v>
      </c>
      <c r="M5" s="9">
        <f t="shared" si="1"/>
        <v>28</v>
      </c>
      <c r="N5" s="12">
        <v>30</v>
      </c>
    </row>
    <row r="6" spans="1:14" s="2" customFormat="1" ht="19.5" customHeight="1" thickBot="1" x14ac:dyDescent="0.25">
      <c r="A6" s="6">
        <v>5</v>
      </c>
      <c r="B6" s="6" t="s">
        <v>14</v>
      </c>
      <c r="C6" s="6" t="s">
        <v>21</v>
      </c>
      <c r="D6" s="6" t="s">
        <v>18</v>
      </c>
      <c r="E6" s="6">
        <v>60</v>
      </c>
      <c r="F6" s="6" t="str">
        <f t="shared" si="0"/>
        <v>偶</v>
      </c>
      <c r="G6" s="6">
        <v>10</v>
      </c>
      <c r="H6" s="6">
        <v>1</v>
      </c>
      <c r="I6" s="6">
        <v>0</v>
      </c>
      <c r="J6" s="6">
        <v>4</v>
      </c>
      <c r="K6" s="6">
        <v>1</v>
      </c>
      <c r="L6" s="14" t="s">
        <v>47</v>
      </c>
      <c r="M6" s="9">
        <f t="shared" si="1"/>
        <v>30</v>
      </c>
      <c r="N6" s="12">
        <v>32</v>
      </c>
    </row>
    <row r="7" spans="1:14" s="2" customFormat="1" ht="19.5" customHeight="1" thickBot="1" x14ac:dyDescent="0.25">
      <c r="A7" s="6">
        <v>6</v>
      </c>
      <c r="B7" s="6" t="s">
        <v>14</v>
      </c>
      <c r="C7" s="6" t="s">
        <v>22</v>
      </c>
      <c r="D7" s="6" t="s">
        <v>18</v>
      </c>
      <c r="E7" s="6">
        <v>110</v>
      </c>
      <c r="F7" s="6" t="str">
        <f t="shared" si="0"/>
        <v>奇</v>
      </c>
      <c r="G7" s="6">
        <v>9</v>
      </c>
      <c r="H7" s="6">
        <v>1</v>
      </c>
      <c r="I7" s="6">
        <v>0</v>
      </c>
      <c r="J7" s="6">
        <v>6</v>
      </c>
      <c r="K7" s="6">
        <v>1</v>
      </c>
      <c r="L7" s="14" t="s">
        <v>48</v>
      </c>
      <c r="M7" s="9">
        <f t="shared" si="1"/>
        <v>61</v>
      </c>
      <c r="N7" s="12">
        <v>63</v>
      </c>
    </row>
    <row r="8" spans="1:14" s="2" customFormat="1" ht="19.5" customHeight="1" thickBot="1" x14ac:dyDescent="0.25">
      <c r="A8" s="6">
        <v>7</v>
      </c>
      <c r="B8" s="6" t="s">
        <v>14</v>
      </c>
      <c r="C8" s="6" t="s">
        <v>23</v>
      </c>
      <c r="D8" s="6" t="s">
        <v>18</v>
      </c>
      <c r="E8" s="6">
        <v>52</v>
      </c>
      <c r="F8" s="6" t="str">
        <f t="shared" si="0"/>
        <v>偶</v>
      </c>
      <c r="G8" s="6">
        <v>10</v>
      </c>
      <c r="H8" s="6">
        <v>1</v>
      </c>
      <c r="I8" s="6">
        <v>0</v>
      </c>
      <c r="J8" s="6">
        <v>4</v>
      </c>
      <c r="K8" s="6">
        <v>1</v>
      </c>
      <c r="L8" s="14" t="s">
        <v>49</v>
      </c>
      <c r="M8" s="9">
        <f t="shared" si="1"/>
        <v>24</v>
      </c>
      <c r="N8" s="12">
        <v>26</v>
      </c>
    </row>
    <row r="9" spans="1:14" s="2" customFormat="1" ht="19.5" customHeight="1" thickBot="1" x14ac:dyDescent="0.25">
      <c r="A9" s="6">
        <v>8</v>
      </c>
      <c r="B9" s="6" t="s">
        <v>14</v>
      </c>
      <c r="C9" s="6" t="s">
        <v>24</v>
      </c>
      <c r="D9" s="6" t="s">
        <v>18</v>
      </c>
      <c r="E9" s="6">
        <v>49</v>
      </c>
      <c r="F9" s="6" t="str">
        <f t="shared" si="0"/>
        <v>偶</v>
      </c>
      <c r="G9" s="6">
        <v>10</v>
      </c>
      <c r="H9" s="6">
        <v>1</v>
      </c>
      <c r="I9" s="6">
        <v>0</v>
      </c>
      <c r="J9" s="6">
        <v>4</v>
      </c>
      <c r="K9" s="6">
        <v>1</v>
      </c>
      <c r="L9" s="14" t="s">
        <v>50</v>
      </c>
      <c r="M9" s="9">
        <f t="shared" si="1"/>
        <v>26</v>
      </c>
      <c r="N9" s="12">
        <v>28</v>
      </c>
    </row>
    <row r="10" spans="1:14" s="2" customFormat="1" ht="19.5" customHeight="1" thickBot="1" x14ac:dyDescent="0.25">
      <c r="A10" s="6">
        <v>9</v>
      </c>
      <c r="B10" s="6" t="s">
        <v>14</v>
      </c>
      <c r="C10" s="6" t="s">
        <v>25</v>
      </c>
      <c r="D10" s="6" t="s">
        <v>18</v>
      </c>
      <c r="E10" s="6">
        <v>56</v>
      </c>
      <c r="F10" s="6" t="str">
        <f t="shared" si="0"/>
        <v>奇</v>
      </c>
      <c r="G10" s="6">
        <v>9</v>
      </c>
      <c r="H10" s="6">
        <v>1</v>
      </c>
      <c r="I10" s="6">
        <v>0</v>
      </c>
      <c r="J10" s="6">
        <v>4</v>
      </c>
      <c r="K10" s="6">
        <v>1</v>
      </c>
      <c r="L10" s="14" t="s">
        <v>51</v>
      </c>
      <c r="M10" s="9">
        <f t="shared" si="1"/>
        <v>24</v>
      </c>
      <c r="N10" s="12">
        <v>26</v>
      </c>
    </row>
    <row r="11" spans="1:14" s="2" customFormat="1" ht="19.5" customHeight="1" thickBot="1" x14ac:dyDescent="0.25">
      <c r="A11" s="6">
        <v>10</v>
      </c>
      <c r="B11" s="6" t="s">
        <v>14</v>
      </c>
      <c r="C11" s="6" t="s">
        <v>26</v>
      </c>
      <c r="D11" s="6" t="s">
        <v>18</v>
      </c>
      <c r="E11" s="6">
        <v>78</v>
      </c>
      <c r="F11" s="6" t="str">
        <f t="shared" si="0"/>
        <v>偶</v>
      </c>
      <c r="G11" s="6">
        <v>10</v>
      </c>
      <c r="H11" s="6">
        <v>1</v>
      </c>
      <c r="I11" s="6">
        <v>0</v>
      </c>
      <c r="J11" s="6">
        <v>6</v>
      </c>
      <c r="K11" s="6">
        <v>1</v>
      </c>
      <c r="L11" s="14" t="s">
        <v>52</v>
      </c>
      <c r="M11" s="9">
        <f t="shared" si="1"/>
        <v>37</v>
      </c>
      <c r="N11" s="12">
        <v>39</v>
      </c>
    </row>
    <row r="12" spans="1:14" s="2" customFormat="1" ht="19.5" customHeight="1" thickBot="1" x14ac:dyDescent="0.25">
      <c r="A12" s="6">
        <v>11</v>
      </c>
      <c r="B12" s="6" t="s">
        <v>14</v>
      </c>
      <c r="C12" s="6" t="s">
        <v>27</v>
      </c>
      <c r="D12" s="6" t="s">
        <v>18</v>
      </c>
      <c r="E12" s="6">
        <v>58</v>
      </c>
      <c r="F12" s="6" t="str">
        <f t="shared" si="0"/>
        <v>偶</v>
      </c>
      <c r="G12" s="6">
        <v>12</v>
      </c>
      <c r="H12" s="6">
        <v>1</v>
      </c>
      <c r="I12" s="6">
        <v>0</v>
      </c>
      <c r="J12" s="6">
        <v>4</v>
      </c>
      <c r="K12" s="6">
        <v>1</v>
      </c>
      <c r="L12" s="14" t="s">
        <v>53</v>
      </c>
      <c r="M12" s="9">
        <f t="shared" si="1"/>
        <v>26</v>
      </c>
      <c r="N12" s="12">
        <v>28</v>
      </c>
    </row>
    <row r="13" spans="1:14" s="2" customFormat="1" ht="19.5" customHeight="1" thickBot="1" x14ac:dyDescent="0.25">
      <c r="A13" s="6">
        <v>12</v>
      </c>
      <c r="B13" s="6" t="s">
        <v>14</v>
      </c>
      <c r="C13" s="6" t="s">
        <v>28</v>
      </c>
      <c r="D13" s="6" t="s">
        <v>18</v>
      </c>
      <c r="E13" s="6">
        <v>64</v>
      </c>
      <c r="F13" s="6" t="str">
        <f t="shared" si="0"/>
        <v>偶</v>
      </c>
      <c r="G13" s="6">
        <v>10</v>
      </c>
      <c r="H13" s="6">
        <v>1</v>
      </c>
      <c r="I13" s="6">
        <v>0</v>
      </c>
      <c r="J13" s="6">
        <v>4</v>
      </c>
      <c r="K13" s="6">
        <v>1</v>
      </c>
      <c r="L13" s="14" t="s">
        <v>44</v>
      </c>
      <c r="M13" s="9">
        <f t="shared" si="1"/>
        <v>30</v>
      </c>
      <c r="N13" s="12">
        <v>32</v>
      </c>
    </row>
    <row r="14" spans="1:14" s="2" customFormat="1" ht="19.5" customHeight="1" thickBot="1" x14ac:dyDescent="0.25">
      <c r="A14" s="6">
        <v>13</v>
      </c>
      <c r="B14" s="6" t="s">
        <v>14</v>
      </c>
      <c r="C14" s="6" t="s">
        <v>29</v>
      </c>
      <c r="D14" s="6" t="s">
        <v>18</v>
      </c>
      <c r="E14" s="6">
        <v>57</v>
      </c>
      <c r="F14" s="6" t="str">
        <f t="shared" si="0"/>
        <v>奇</v>
      </c>
      <c r="G14" s="6">
        <v>9</v>
      </c>
      <c r="H14" s="6">
        <v>1</v>
      </c>
      <c r="I14" s="6">
        <v>0</v>
      </c>
      <c r="J14" s="6">
        <v>4</v>
      </c>
      <c r="K14" s="6">
        <v>1</v>
      </c>
      <c r="L14" s="14" t="s">
        <v>51</v>
      </c>
      <c r="M14" s="9">
        <f t="shared" si="1"/>
        <v>24</v>
      </c>
      <c r="N14" s="12">
        <v>26</v>
      </c>
    </row>
    <row r="15" spans="1:14" s="2" customFormat="1" ht="19.5" customHeight="1" thickBot="1" x14ac:dyDescent="0.25">
      <c r="A15" s="6">
        <v>14</v>
      </c>
      <c r="B15" s="6" t="s">
        <v>14</v>
      </c>
      <c r="C15" s="6" t="s">
        <v>30</v>
      </c>
      <c r="D15" s="6" t="s">
        <v>18</v>
      </c>
      <c r="E15" s="6">
        <v>100</v>
      </c>
      <c r="F15" s="6" t="str">
        <f t="shared" si="0"/>
        <v>偶</v>
      </c>
      <c r="G15" s="6">
        <v>10</v>
      </c>
      <c r="H15" s="6">
        <v>1</v>
      </c>
      <c r="I15" s="6">
        <v>0</v>
      </c>
      <c r="J15" s="6">
        <v>6</v>
      </c>
      <c r="K15" s="6">
        <v>1</v>
      </c>
      <c r="L15" s="14" t="s">
        <v>54</v>
      </c>
      <c r="M15" s="9">
        <f t="shared" si="1"/>
        <v>48</v>
      </c>
      <c r="N15" s="12">
        <v>50</v>
      </c>
    </row>
    <row r="16" spans="1:14" s="2" customFormat="1" ht="19.5" customHeight="1" thickBot="1" x14ac:dyDescent="0.25">
      <c r="A16" s="6">
        <v>15</v>
      </c>
      <c r="B16" s="6" t="s">
        <v>14</v>
      </c>
      <c r="C16" s="6" t="s">
        <v>31</v>
      </c>
      <c r="D16" s="6" t="s">
        <v>18</v>
      </c>
      <c r="E16" s="6">
        <v>58</v>
      </c>
      <c r="F16" s="6" t="str">
        <f t="shared" si="0"/>
        <v>偶</v>
      </c>
      <c r="G16" s="6">
        <v>10</v>
      </c>
      <c r="H16" s="6">
        <v>1</v>
      </c>
      <c r="I16" s="6">
        <v>0</v>
      </c>
      <c r="J16" s="6">
        <v>6</v>
      </c>
      <c r="K16" s="6">
        <v>1</v>
      </c>
      <c r="L16" s="14" t="s">
        <v>46</v>
      </c>
      <c r="M16" s="9">
        <f t="shared" si="1"/>
        <v>28</v>
      </c>
      <c r="N16" s="12">
        <v>30</v>
      </c>
    </row>
    <row r="17" spans="1:14" s="2" customFormat="1" ht="19.5" customHeight="1" thickBot="1" x14ac:dyDescent="0.25">
      <c r="A17" s="6">
        <v>16</v>
      </c>
      <c r="B17" s="6" t="s">
        <v>14</v>
      </c>
      <c r="C17" s="6" t="s">
        <v>32</v>
      </c>
      <c r="D17" s="6" t="s">
        <v>18</v>
      </c>
      <c r="E17" s="6">
        <v>52</v>
      </c>
      <c r="F17" s="6" t="str">
        <f t="shared" si="0"/>
        <v>偶</v>
      </c>
      <c r="G17" s="6">
        <v>8</v>
      </c>
      <c r="H17" s="6">
        <v>1</v>
      </c>
      <c r="I17" s="6">
        <v>0</v>
      </c>
      <c r="J17" s="6">
        <v>4</v>
      </c>
      <c r="K17" s="6">
        <v>1</v>
      </c>
      <c r="L17" s="14" t="s">
        <v>55</v>
      </c>
      <c r="M17" s="9">
        <f t="shared" si="1"/>
        <v>25</v>
      </c>
      <c r="N17" s="12">
        <v>27</v>
      </c>
    </row>
    <row r="18" spans="1:14" s="2" customFormat="1" ht="19.5" customHeight="1" thickBot="1" x14ac:dyDescent="0.25">
      <c r="A18" s="6">
        <v>17</v>
      </c>
      <c r="B18" s="6" t="s">
        <v>33</v>
      </c>
      <c r="C18" s="6" t="s">
        <v>34</v>
      </c>
      <c r="D18" s="6" t="s">
        <v>18</v>
      </c>
      <c r="E18" s="6">
        <v>100</v>
      </c>
      <c r="F18" s="6" t="str">
        <f t="shared" si="0"/>
        <v>奇</v>
      </c>
      <c r="G18" s="6">
        <v>13</v>
      </c>
      <c r="H18" s="6">
        <v>1</v>
      </c>
      <c r="I18" s="6">
        <v>0</v>
      </c>
      <c r="J18" s="10">
        <v>6</v>
      </c>
      <c r="K18" s="6">
        <v>1</v>
      </c>
      <c r="L18" s="14" t="s">
        <v>56</v>
      </c>
      <c r="M18" s="9">
        <f t="shared" si="1"/>
        <v>56</v>
      </c>
      <c r="N18" s="12">
        <v>58</v>
      </c>
    </row>
    <row r="19" spans="1:14" s="2" customFormat="1" ht="19.5" customHeight="1" thickBot="1" x14ac:dyDescent="0.25">
      <c r="A19" s="6">
        <v>18</v>
      </c>
      <c r="B19" s="6" t="s">
        <v>33</v>
      </c>
      <c r="C19" s="6" t="s">
        <v>35</v>
      </c>
      <c r="D19" s="6" t="s">
        <v>18</v>
      </c>
      <c r="E19" s="6">
        <v>118</v>
      </c>
      <c r="F19" s="6" t="str">
        <f t="shared" si="0"/>
        <v>偶</v>
      </c>
      <c r="G19" s="6">
        <v>14</v>
      </c>
      <c r="H19" s="6">
        <v>1</v>
      </c>
      <c r="I19" s="6">
        <v>0</v>
      </c>
      <c r="J19" s="10">
        <v>7</v>
      </c>
      <c r="K19" s="6">
        <v>1</v>
      </c>
      <c r="L19" s="14" t="s">
        <v>57</v>
      </c>
      <c r="M19" s="9">
        <f t="shared" si="1"/>
        <v>60</v>
      </c>
      <c r="N19" s="12">
        <v>62</v>
      </c>
    </row>
    <row r="20" spans="1:14" s="2" customFormat="1" ht="19.5" customHeight="1" thickBot="1" x14ac:dyDescent="0.25">
      <c r="A20" s="6">
        <v>19</v>
      </c>
      <c r="B20" s="6" t="s">
        <v>33</v>
      </c>
      <c r="C20" s="6" t="s">
        <v>36</v>
      </c>
      <c r="D20" s="6" t="s">
        <v>18</v>
      </c>
      <c r="E20" s="6">
        <v>100</v>
      </c>
      <c r="F20" s="6" t="str">
        <f t="shared" si="0"/>
        <v>奇</v>
      </c>
      <c r="G20" s="6">
        <v>13</v>
      </c>
      <c r="H20" s="6">
        <v>1</v>
      </c>
      <c r="I20" s="6">
        <v>0</v>
      </c>
      <c r="J20" s="10">
        <v>7</v>
      </c>
      <c r="K20" s="6">
        <v>1</v>
      </c>
      <c r="L20" s="14" t="s">
        <v>58</v>
      </c>
      <c r="M20" s="9">
        <f t="shared" si="1"/>
        <v>54</v>
      </c>
      <c r="N20" s="12">
        <v>56</v>
      </c>
    </row>
    <row r="21" spans="1:14" s="2" customFormat="1" ht="19.5" customHeight="1" thickBot="1" x14ac:dyDescent="0.25">
      <c r="A21" s="6">
        <v>20</v>
      </c>
      <c r="B21" s="6" t="s">
        <v>33</v>
      </c>
      <c r="C21" s="6" t="s">
        <v>37</v>
      </c>
      <c r="D21" s="6" t="s">
        <v>18</v>
      </c>
      <c r="E21" s="6">
        <v>118</v>
      </c>
      <c r="F21" s="6" t="str">
        <f t="shared" si="0"/>
        <v>奇</v>
      </c>
      <c r="G21" s="6">
        <v>13</v>
      </c>
      <c r="H21" s="6">
        <v>1</v>
      </c>
      <c r="I21" s="6">
        <v>2</v>
      </c>
      <c r="J21" s="10">
        <v>7</v>
      </c>
      <c r="K21" s="6">
        <v>1</v>
      </c>
      <c r="L21" s="14" t="s">
        <v>59</v>
      </c>
      <c r="M21" s="9">
        <f t="shared" si="1"/>
        <v>61</v>
      </c>
      <c r="N21" s="12">
        <v>63</v>
      </c>
    </row>
    <row r="22" spans="1:14" s="2" customFormat="1" ht="19.5" customHeight="1" thickBot="1" x14ac:dyDescent="0.25">
      <c r="A22" s="6">
        <v>21</v>
      </c>
      <c r="B22" s="6" t="s">
        <v>33</v>
      </c>
      <c r="C22" s="6" t="s">
        <v>38</v>
      </c>
      <c r="D22" s="6" t="s">
        <v>18</v>
      </c>
      <c r="E22" s="6">
        <v>107</v>
      </c>
      <c r="F22" s="6" t="str">
        <f t="shared" si="0"/>
        <v>奇</v>
      </c>
      <c r="G22" s="6">
        <v>13</v>
      </c>
      <c r="H22" s="6">
        <v>1</v>
      </c>
      <c r="I22" s="6">
        <v>0</v>
      </c>
      <c r="J22" s="10">
        <v>6</v>
      </c>
      <c r="K22" s="6">
        <v>1</v>
      </c>
      <c r="L22" s="14" t="s">
        <v>60</v>
      </c>
      <c r="M22" s="9">
        <f t="shared" si="1"/>
        <v>65</v>
      </c>
      <c r="N22" s="12">
        <v>67</v>
      </c>
    </row>
    <row r="23" spans="1:14" s="2" customFormat="1" ht="19.5" customHeight="1" thickBot="1" x14ac:dyDescent="0.25">
      <c r="A23" s="6">
        <v>22</v>
      </c>
      <c r="B23" s="6" t="s">
        <v>33</v>
      </c>
      <c r="C23" s="6" t="s">
        <v>39</v>
      </c>
      <c r="D23" s="6" t="s">
        <v>18</v>
      </c>
      <c r="E23" s="6">
        <v>102</v>
      </c>
      <c r="F23" s="6" t="str">
        <f t="shared" si="0"/>
        <v>奇</v>
      </c>
      <c r="G23" s="6">
        <v>13</v>
      </c>
      <c r="H23" s="6">
        <v>1</v>
      </c>
      <c r="I23" s="6">
        <v>0</v>
      </c>
      <c r="J23" s="10">
        <v>6</v>
      </c>
      <c r="K23" s="6">
        <v>1</v>
      </c>
      <c r="L23" s="14" t="s">
        <v>61</v>
      </c>
      <c r="M23" s="9">
        <f t="shared" si="1"/>
        <v>54</v>
      </c>
      <c r="N23" s="12">
        <v>56</v>
      </c>
    </row>
    <row r="24" spans="1:14" s="2" customFormat="1" ht="19.5" customHeight="1" thickBot="1" x14ac:dyDescent="0.25">
      <c r="A24" s="6">
        <v>23</v>
      </c>
      <c r="B24" s="6" t="s">
        <v>33</v>
      </c>
      <c r="C24" s="6" t="s">
        <v>40</v>
      </c>
      <c r="D24" s="6" t="s">
        <v>18</v>
      </c>
      <c r="E24" s="6">
        <v>120</v>
      </c>
      <c r="F24" s="6" t="str">
        <f t="shared" si="0"/>
        <v>奇</v>
      </c>
      <c r="G24" s="6">
        <v>13</v>
      </c>
      <c r="H24" s="6">
        <v>1</v>
      </c>
      <c r="I24" s="6">
        <v>0</v>
      </c>
      <c r="J24" s="10">
        <v>6</v>
      </c>
      <c r="K24" s="6">
        <v>1</v>
      </c>
      <c r="L24" s="14" t="s">
        <v>62</v>
      </c>
      <c r="M24" s="9">
        <f t="shared" si="1"/>
        <v>63</v>
      </c>
      <c r="N24" s="12">
        <v>65</v>
      </c>
    </row>
    <row r="25" spans="1:14" s="2" customFormat="1" ht="19.5" customHeight="1" thickBot="1" x14ac:dyDescent="0.25">
      <c r="A25" s="6">
        <v>24</v>
      </c>
      <c r="B25" s="6" t="s">
        <v>33</v>
      </c>
      <c r="C25" s="6" t="s">
        <v>41</v>
      </c>
      <c r="D25" s="6" t="s">
        <v>18</v>
      </c>
      <c r="E25" s="6">
        <v>118</v>
      </c>
      <c r="F25" s="6" t="str">
        <f t="shared" si="0"/>
        <v>偶</v>
      </c>
      <c r="G25" s="6">
        <v>12</v>
      </c>
      <c r="H25" s="6">
        <v>1</v>
      </c>
      <c r="I25" s="6">
        <v>0</v>
      </c>
      <c r="J25" s="6">
        <v>7</v>
      </c>
      <c r="K25" s="6">
        <v>1</v>
      </c>
      <c r="L25" s="14" t="s">
        <v>63</v>
      </c>
      <c r="M25" s="9">
        <f t="shared" si="1"/>
        <v>56</v>
      </c>
      <c r="N25" s="12">
        <v>58</v>
      </c>
    </row>
    <row r="26" spans="1:14" s="2" customFormat="1" ht="19.5" customHeight="1" thickBot="1" x14ac:dyDescent="0.25">
      <c r="A26" s="6">
        <v>25</v>
      </c>
      <c r="B26" s="6" t="s">
        <v>33</v>
      </c>
      <c r="C26" s="6" t="s">
        <v>42</v>
      </c>
      <c r="D26" s="6" t="s">
        <v>18</v>
      </c>
      <c r="E26" s="6">
        <v>108</v>
      </c>
      <c r="F26" s="6" t="str">
        <f t="shared" si="0"/>
        <v>偶</v>
      </c>
      <c r="G26" s="6">
        <v>12</v>
      </c>
      <c r="H26" s="6">
        <v>1</v>
      </c>
      <c r="I26" s="6">
        <v>0</v>
      </c>
      <c r="J26" s="6">
        <v>7</v>
      </c>
      <c r="K26" s="6">
        <v>1</v>
      </c>
      <c r="L26" s="14" t="s">
        <v>64</v>
      </c>
      <c r="M26" s="9">
        <f t="shared" si="1"/>
        <v>52</v>
      </c>
      <c r="N26" s="12">
        <v>54</v>
      </c>
    </row>
    <row r="27" spans="1:14" ht="20.25" customHeight="1" x14ac:dyDescent="0.2">
      <c r="L27" s="11"/>
    </row>
  </sheetData>
  <phoneticPr fontId="6" type="noConversion"/>
  <pageMargins left="0.35433100000000001" right="0.35433100000000001" top="0.19685" bottom="0.19685" header="0" footer="0.19685"/>
  <pageSetup orientation="landscape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下埠校区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814492192@qq.com</cp:lastModifiedBy>
  <cp:revision>0</cp:revision>
  <dcterms:created xsi:type="dcterms:W3CDTF">2024-12-12T06:35:00Z</dcterms:created>
  <dcterms:modified xsi:type="dcterms:W3CDTF">2025-02-18T12:28:21Z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20C4BEEBDF1C46CCA767AAFE9D298E91_13</vt:lpwstr>
  </property>
  <property fmtid="{D5CDD505-2E9C-101B-9397-08002B2CF9AE}" pid="3" name="KSOProductBuildVer">
    <vt:lpwstr>2052-12.1.0.18912</vt:lpwstr>
  </property>
</Properties>
</file>